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KRIPSI\EXCEL\"/>
    </mc:Choice>
  </mc:AlternateContent>
  <xr:revisionPtr revIDLastSave="0" documentId="13_ncr:1_{65654CA4-BB84-480A-BEDB-598E66170090}" xr6:coauthVersionLast="47" xr6:coauthVersionMax="47" xr10:uidLastSave="{00000000-0000-0000-0000-000000000000}"/>
  <bookViews>
    <workbookView xWindow="-120" yWindow="-120" windowWidth="20730" windowHeight="11040" xr2:uid="{56AB9DFE-F6E5-44FC-AE47-A4828AF59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7" i="1" l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56" i="1"/>
  <c r="G256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56" i="1"/>
  <c r="K291" i="1"/>
  <c r="I256" i="1"/>
  <c r="J256" i="1" s="1"/>
  <c r="J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14" i="1"/>
  <c r="G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14" i="1"/>
  <c r="K249" i="1"/>
  <c r="I214" i="1"/>
  <c r="J172" i="1"/>
  <c r="I179" i="1"/>
  <c r="I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172" i="1"/>
  <c r="G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172" i="1"/>
  <c r="K207" i="1"/>
  <c r="J130" i="1"/>
  <c r="I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30" i="1"/>
  <c r="G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30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K165" i="1"/>
  <c r="I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88" i="1"/>
  <c r="G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88" i="1"/>
  <c r="K123" i="1"/>
  <c r="J88" i="1"/>
  <c r="J47" i="1"/>
  <c r="I10" i="1"/>
  <c r="G4" i="1"/>
  <c r="I5" i="1"/>
  <c r="J5" i="1"/>
  <c r="J4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46" i="1"/>
  <c r="G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46" i="1"/>
  <c r="K81" i="1"/>
  <c r="I46" i="1"/>
  <c r="J46" i="1" s="1"/>
  <c r="I4" i="1"/>
  <c r="E4" i="1"/>
  <c r="K39" i="1"/>
  <c r="F4" i="1" l="1"/>
  <c r="H4" i="1"/>
  <c r="E5" i="1"/>
  <c r="I257" i="1" l="1"/>
  <c r="J257" i="1" s="1"/>
  <c r="I215" i="1"/>
  <c r="J215" i="1" s="1"/>
  <c r="I173" i="1"/>
  <c r="J173" i="1" s="1"/>
  <c r="I131" i="1"/>
  <c r="J131" i="1" s="1"/>
  <c r="I89" i="1"/>
  <c r="J89" i="1" s="1"/>
  <c r="I47" i="1"/>
  <c r="E6" i="1"/>
  <c r="F5" i="1"/>
  <c r="H5" i="1" s="1"/>
  <c r="G5" i="1"/>
  <c r="G257" i="1" l="1"/>
  <c r="I258" i="1" s="1"/>
  <c r="J258" i="1" s="1"/>
  <c r="G215" i="1"/>
  <c r="I216" i="1" s="1"/>
  <c r="J216" i="1" s="1"/>
  <c r="G173" i="1"/>
  <c r="I174" i="1" s="1"/>
  <c r="J174" i="1" s="1"/>
  <c r="G131" i="1"/>
  <c r="I132" i="1" s="1"/>
  <c r="J132" i="1" s="1"/>
  <c r="G89" i="1"/>
  <c r="I90" i="1" s="1"/>
  <c r="J90" i="1" s="1"/>
  <c r="G47" i="1"/>
  <c r="I48" i="1" s="1"/>
  <c r="J48" i="1" s="1"/>
  <c r="F6" i="1"/>
  <c r="H6" i="1" s="1"/>
  <c r="I6" i="1"/>
  <c r="J6" i="1" s="1"/>
  <c r="E7" i="1"/>
  <c r="G6" i="1"/>
  <c r="G258" i="1" l="1"/>
  <c r="I259" i="1" s="1"/>
  <c r="J259" i="1" s="1"/>
  <c r="G216" i="1"/>
  <c r="I217" i="1" s="1"/>
  <c r="J217" i="1" s="1"/>
  <c r="G174" i="1"/>
  <c r="I175" i="1" s="1"/>
  <c r="J175" i="1" s="1"/>
  <c r="G132" i="1"/>
  <c r="I133" i="1" s="1"/>
  <c r="J133" i="1" s="1"/>
  <c r="G90" i="1"/>
  <c r="I91" i="1" s="1"/>
  <c r="J91" i="1" s="1"/>
  <c r="G48" i="1"/>
  <c r="I49" i="1" s="1"/>
  <c r="J49" i="1" s="1"/>
  <c r="I7" i="1"/>
  <c r="J7" i="1" s="1"/>
  <c r="E8" i="1"/>
  <c r="F7" i="1"/>
  <c r="H7" i="1" s="1"/>
  <c r="G7" i="1"/>
  <c r="G259" i="1" l="1"/>
  <c r="I260" i="1" s="1"/>
  <c r="J260" i="1" s="1"/>
  <c r="G217" i="1"/>
  <c r="I218" i="1" s="1"/>
  <c r="J218" i="1" s="1"/>
  <c r="G175" i="1"/>
  <c r="I176" i="1" s="1"/>
  <c r="J176" i="1" s="1"/>
  <c r="G133" i="1"/>
  <c r="I134" i="1" s="1"/>
  <c r="J134" i="1" s="1"/>
  <c r="G91" i="1"/>
  <c r="I92" i="1" s="1"/>
  <c r="J92" i="1" s="1"/>
  <c r="G49" i="1"/>
  <c r="I50" i="1" s="1"/>
  <c r="J50" i="1" s="1"/>
  <c r="I8" i="1"/>
  <c r="J8" i="1" s="1"/>
  <c r="E9" i="1"/>
  <c r="F8" i="1"/>
  <c r="H8" i="1" s="1"/>
  <c r="G8" i="1"/>
  <c r="G260" i="1" l="1"/>
  <c r="I261" i="1" s="1"/>
  <c r="J261" i="1" s="1"/>
  <c r="G218" i="1"/>
  <c r="I219" i="1" s="1"/>
  <c r="J219" i="1" s="1"/>
  <c r="G176" i="1"/>
  <c r="I177" i="1" s="1"/>
  <c r="J177" i="1" s="1"/>
  <c r="G134" i="1"/>
  <c r="I135" i="1" s="1"/>
  <c r="J135" i="1" s="1"/>
  <c r="G92" i="1"/>
  <c r="I93" i="1" s="1"/>
  <c r="J93" i="1" s="1"/>
  <c r="G50" i="1"/>
  <c r="I51" i="1" s="1"/>
  <c r="J51" i="1" s="1"/>
  <c r="I9" i="1"/>
  <c r="J9" i="1" s="1"/>
  <c r="E10" i="1"/>
  <c r="F9" i="1"/>
  <c r="H9" i="1" s="1"/>
  <c r="G9" i="1"/>
  <c r="G261" i="1" l="1"/>
  <c r="I262" i="1" s="1"/>
  <c r="J262" i="1" s="1"/>
  <c r="G219" i="1"/>
  <c r="I220" i="1" s="1"/>
  <c r="J220" i="1" s="1"/>
  <c r="G177" i="1"/>
  <c r="I178" i="1" s="1"/>
  <c r="J178" i="1" s="1"/>
  <c r="G135" i="1"/>
  <c r="I136" i="1" s="1"/>
  <c r="J136" i="1" s="1"/>
  <c r="G93" i="1"/>
  <c r="I94" i="1" s="1"/>
  <c r="J94" i="1" s="1"/>
  <c r="G51" i="1"/>
  <c r="I52" i="1" s="1"/>
  <c r="J52" i="1" s="1"/>
  <c r="J10" i="1"/>
  <c r="E11" i="1"/>
  <c r="F10" i="1"/>
  <c r="H10" i="1" s="1"/>
  <c r="G10" i="1"/>
  <c r="G262" i="1" l="1"/>
  <c r="I263" i="1" s="1"/>
  <c r="J263" i="1" s="1"/>
  <c r="G220" i="1"/>
  <c r="I221" i="1" s="1"/>
  <c r="J221" i="1" s="1"/>
  <c r="G178" i="1"/>
  <c r="J179" i="1" s="1"/>
  <c r="G136" i="1"/>
  <c r="I137" i="1" s="1"/>
  <c r="J137" i="1" s="1"/>
  <c r="G94" i="1"/>
  <c r="I95" i="1" s="1"/>
  <c r="J95" i="1" s="1"/>
  <c r="G52" i="1"/>
  <c r="I53" i="1" s="1"/>
  <c r="J53" i="1" s="1"/>
  <c r="I11" i="1"/>
  <c r="J11" i="1" s="1"/>
  <c r="E12" i="1"/>
  <c r="F11" i="1"/>
  <c r="H11" i="1" s="1"/>
  <c r="G11" i="1"/>
  <c r="G263" i="1" l="1"/>
  <c r="I264" i="1" s="1"/>
  <c r="J264" i="1" s="1"/>
  <c r="G221" i="1"/>
  <c r="I222" i="1" s="1"/>
  <c r="J222" i="1" s="1"/>
  <c r="G179" i="1"/>
  <c r="I180" i="1" s="1"/>
  <c r="J180" i="1" s="1"/>
  <c r="G137" i="1"/>
  <c r="I138" i="1" s="1"/>
  <c r="J138" i="1" s="1"/>
  <c r="G95" i="1"/>
  <c r="I96" i="1" s="1"/>
  <c r="J96" i="1" s="1"/>
  <c r="G53" i="1"/>
  <c r="I54" i="1" s="1"/>
  <c r="J54" i="1" s="1"/>
  <c r="I12" i="1"/>
  <c r="J12" i="1" s="1"/>
  <c r="E13" i="1"/>
  <c r="F12" i="1"/>
  <c r="H12" i="1" s="1"/>
  <c r="G12" i="1"/>
  <c r="G264" i="1" l="1"/>
  <c r="I265" i="1" s="1"/>
  <c r="J265" i="1" s="1"/>
  <c r="G222" i="1"/>
  <c r="I223" i="1" s="1"/>
  <c r="J223" i="1" s="1"/>
  <c r="G180" i="1"/>
  <c r="I181" i="1" s="1"/>
  <c r="J181" i="1" s="1"/>
  <c r="G138" i="1"/>
  <c r="I139" i="1" s="1"/>
  <c r="J139" i="1" s="1"/>
  <c r="G96" i="1"/>
  <c r="I97" i="1" s="1"/>
  <c r="J97" i="1" s="1"/>
  <c r="G54" i="1"/>
  <c r="I55" i="1" s="1"/>
  <c r="J55" i="1" s="1"/>
  <c r="I13" i="1"/>
  <c r="J13" i="1" s="1"/>
  <c r="E14" i="1"/>
  <c r="F13" i="1"/>
  <c r="H13" i="1" s="1"/>
  <c r="G13" i="1"/>
  <c r="G265" i="1" l="1"/>
  <c r="I266" i="1" s="1"/>
  <c r="J266" i="1" s="1"/>
  <c r="G223" i="1"/>
  <c r="I224" i="1" s="1"/>
  <c r="J224" i="1" s="1"/>
  <c r="G181" i="1"/>
  <c r="I182" i="1" s="1"/>
  <c r="J182" i="1" s="1"/>
  <c r="G139" i="1"/>
  <c r="I140" i="1" s="1"/>
  <c r="J140" i="1" s="1"/>
  <c r="G97" i="1"/>
  <c r="I98" i="1" s="1"/>
  <c r="J98" i="1" s="1"/>
  <c r="G55" i="1"/>
  <c r="I56" i="1" s="1"/>
  <c r="J56" i="1" s="1"/>
  <c r="I14" i="1"/>
  <c r="J14" i="1" s="1"/>
  <c r="E15" i="1"/>
  <c r="F14" i="1"/>
  <c r="G266" i="1" l="1"/>
  <c r="I267" i="1" s="1"/>
  <c r="J267" i="1" s="1"/>
  <c r="G224" i="1"/>
  <c r="I225" i="1" s="1"/>
  <c r="J225" i="1" s="1"/>
  <c r="G182" i="1"/>
  <c r="I183" i="1" s="1"/>
  <c r="J183" i="1" s="1"/>
  <c r="G140" i="1"/>
  <c r="I141" i="1" s="1"/>
  <c r="J141" i="1" s="1"/>
  <c r="G98" i="1"/>
  <c r="I99" i="1" s="1"/>
  <c r="J99" i="1" s="1"/>
  <c r="G56" i="1"/>
  <c r="I57" i="1" s="1"/>
  <c r="J57" i="1" s="1"/>
  <c r="H14" i="1"/>
  <c r="G14" i="1"/>
  <c r="I15" i="1" s="1"/>
  <c r="J15" i="1" s="1"/>
  <c r="E16" i="1"/>
  <c r="F15" i="1"/>
  <c r="G267" i="1" l="1"/>
  <c r="I268" i="1" s="1"/>
  <c r="J268" i="1" s="1"/>
  <c r="G225" i="1"/>
  <c r="I226" i="1" s="1"/>
  <c r="J226" i="1" s="1"/>
  <c r="G183" i="1"/>
  <c r="I184" i="1" s="1"/>
  <c r="J184" i="1" s="1"/>
  <c r="G141" i="1"/>
  <c r="I142" i="1" s="1"/>
  <c r="J142" i="1" s="1"/>
  <c r="G99" i="1"/>
  <c r="I100" i="1" s="1"/>
  <c r="J100" i="1" s="1"/>
  <c r="G57" i="1"/>
  <c r="I58" i="1" s="1"/>
  <c r="J58" i="1" s="1"/>
  <c r="H15" i="1"/>
  <c r="G15" i="1"/>
  <c r="I16" i="1" s="1"/>
  <c r="J16" i="1" s="1"/>
  <c r="E17" i="1"/>
  <c r="F16" i="1"/>
  <c r="G268" i="1" l="1"/>
  <c r="I269" i="1" s="1"/>
  <c r="J269" i="1" s="1"/>
  <c r="G226" i="1"/>
  <c r="I227" i="1" s="1"/>
  <c r="J227" i="1" s="1"/>
  <c r="G184" i="1"/>
  <c r="I185" i="1" s="1"/>
  <c r="J185" i="1" s="1"/>
  <c r="G142" i="1"/>
  <c r="I143" i="1" s="1"/>
  <c r="J143" i="1" s="1"/>
  <c r="G100" i="1"/>
  <c r="I101" i="1" s="1"/>
  <c r="J101" i="1" s="1"/>
  <c r="G58" i="1"/>
  <c r="I59" i="1" s="1"/>
  <c r="J59" i="1" s="1"/>
  <c r="H16" i="1"/>
  <c r="G16" i="1"/>
  <c r="I17" i="1" s="1"/>
  <c r="J17" i="1" s="1"/>
  <c r="E18" i="1"/>
  <c r="F17" i="1"/>
  <c r="G269" i="1" l="1"/>
  <c r="I270" i="1" s="1"/>
  <c r="J270" i="1" s="1"/>
  <c r="G227" i="1"/>
  <c r="I228" i="1" s="1"/>
  <c r="J228" i="1" s="1"/>
  <c r="G185" i="1"/>
  <c r="I186" i="1" s="1"/>
  <c r="J186" i="1" s="1"/>
  <c r="G143" i="1"/>
  <c r="I144" i="1" s="1"/>
  <c r="J144" i="1" s="1"/>
  <c r="G101" i="1"/>
  <c r="I102" i="1" s="1"/>
  <c r="J102" i="1" s="1"/>
  <c r="G59" i="1"/>
  <c r="I60" i="1" s="1"/>
  <c r="J60" i="1" s="1"/>
  <c r="H17" i="1"/>
  <c r="G17" i="1"/>
  <c r="I18" i="1" s="1"/>
  <c r="J18" i="1" s="1"/>
  <c r="E19" i="1"/>
  <c r="F18" i="1"/>
  <c r="G270" i="1" l="1"/>
  <c r="I271" i="1" s="1"/>
  <c r="J271" i="1" s="1"/>
  <c r="G228" i="1"/>
  <c r="I229" i="1" s="1"/>
  <c r="J229" i="1" s="1"/>
  <c r="G186" i="1"/>
  <c r="I187" i="1" s="1"/>
  <c r="J187" i="1" s="1"/>
  <c r="G144" i="1"/>
  <c r="I145" i="1" s="1"/>
  <c r="J145" i="1" s="1"/>
  <c r="G102" i="1"/>
  <c r="I103" i="1" s="1"/>
  <c r="J103" i="1" s="1"/>
  <c r="G60" i="1"/>
  <c r="I61" i="1" s="1"/>
  <c r="J61" i="1" s="1"/>
  <c r="H18" i="1"/>
  <c r="G18" i="1"/>
  <c r="I19" i="1" s="1"/>
  <c r="J19" i="1" s="1"/>
  <c r="E20" i="1"/>
  <c r="F19" i="1"/>
  <c r="G271" i="1" l="1"/>
  <c r="I272" i="1" s="1"/>
  <c r="J272" i="1" s="1"/>
  <c r="G229" i="1"/>
  <c r="I230" i="1" s="1"/>
  <c r="J230" i="1" s="1"/>
  <c r="G187" i="1"/>
  <c r="I188" i="1" s="1"/>
  <c r="J188" i="1" s="1"/>
  <c r="G145" i="1"/>
  <c r="I146" i="1" s="1"/>
  <c r="J146" i="1" s="1"/>
  <c r="G103" i="1"/>
  <c r="I104" i="1" s="1"/>
  <c r="J104" i="1" s="1"/>
  <c r="G61" i="1"/>
  <c r="I62" i="1" s="1"/>
  <c r="J62" i="1" s="1"/>
  <c r="H19" i="1"/>
  <c r="G19" i="1"/>
  <c r="I20" i="1" s="1"/>
  <c r="J20" i="1" s="1"/>
  <c r="E21" i="1"/>
  <c r="F20" i="1"/>
  <c r="G272" i="1" l="1"/>
  <c r="I273" i="1" s="1"/>
  <c r="J273" i="1" s="1"/>
  <c r="G230" i="1"/>
  <c r="I231" i="1" s="1"/>
  <c r="J231" i="1" s="1"/>
  <c r="G188" i="1"/>
  <c r="I189" i="1" s="1"/>
  <c r="J189" i="1" s="1"/>
  <c r="G146" i="1"/>
  <c r="I147" i="1" s="1"/>
  <c r="J147" i="1" s="1"/>
  <c r="G104" i="1"/>
  <c r="I105" i="1" s="1"/>
  <c r="J105" i="1" s="1"/>
  <c r="G62" i="1"/>
  <c r="I63" i="1" s="1"/>
  <c r="J63" i="1" s="1"/>
  <c r="H20" i="1"/>
  <c r="G20" i="1"/>
  <c r="I21" i="1" s="1"/>
  <c r="J21" i="1" s="1"/>
  <c r="E22" i="1"/>
  <c r="F21" i="1"/>
  <c r="G273" i="1" l="1"/>
  <c r="I274" i="1" s="1"/>
  <c r="J274" i="1" s="1"/>
  <c r="G231" i="1"/>
  <c r="I232" i="1" s="1"/>
  <c r="J232" i="1" s="1"/>
  <c r="G189" i="1"/>
  <c r="I190" i="1" s="1"/>
  <c r="J190" i="1" s="1"/>
  <c r="G147" i="1"/>
  <c r="I148" i="1" s="1"/>
  <c r="J148" i="1" s="1"/>
  <c r="G105" i="1"/>
  <c r="I106" i="1" s="1"/>
  <c r="J106" i="1" s="1"/>
  <c r="G63" i="1"/>
  <c r="I64" i="1" s="1"/>
  <c r="J64" i="1" s="1"/>
  <c r="H21" i="1"/>
  <c r="G21" i="1"/>
  <c r="I22" i="1" s="1"/>
  <c r="J22" i="1" s="1"/>
  <c r="E23" i="1"/>
  <c r="F22" i="1"/>
  <c r="G274" i="1" l="1"/>
  <c r="I275" i="1" s="1"/>
  <c r="J275" i="1" s="1"/>
  <c r="G232" i="1"/>
  <c r="I233" i="1" s="1"/>
  <c r="J233" i="1" s="1"/>
  <c r="G190" i="1"/>
  <c r="I191" i="1" s="1"/>
  <c r="J191" i="1" s="1"/>
  <c r="G148" i="1"/>
  <c r="I149" i="1" s="1"/>
  <c r="J149" i="1" s="1"/>
  <c r="G106" i="1"/>
  <c r="I107" i="1" s="1"/>
  <c r="J107" i="1" s="1"/>
  <c r="G64" i="1"/>
  <c r="I65" i="1" s="1"/>
  <c r="J65" i="1" s="1"/>
  <c r="H22" i="1"/>
  <c r="G22" i="1"/>
  <c r="I23" i="1" s="1"/>
  <c r="J23" i="1" s="1"/>
  <c r="E24" i="1"/>
  <c r="F23" i="1"/>
  <c r="G275" i="1" l="1"/>
  <c r="I276" i="1" s="1"/>
  <c r="J276" i="1" s="1"/>
  <c r="G233" i="1"/>
  <c r="I234" i="1" s="1"/>
  <c r="J234" i="1" s="1"/>
  <c r="G191" i="1"/>
  <c r="I192" i="1" s="1"/>
  <c r="J192" i="1" s="1"/>
  <c r="G149" i="1"/>
  <c r="I150" i="1" s="1"/>
  <c r="J150" i="1" s="1"/>
  <c r="G107" i="1"/>
  <c r="I108" i="1" s="1"/>
  <c r="J108" i="1" s="1"/>
  <c r="G65" i="1"/>
  <c r="I66" i="1" s="1"/>
  <c r="J66" i="1" s="1"/>
  <c r="H23" i="1"/>
  <c r="G23" i="1"/>
  <c r="I24" i="1" s="1"/>
  <c r="J24" i="1" s="1"/>
  <c r="E25" i="1"/>
  <c r="F24" i="1"/>
  <c r="G276" i="1" l="1"/>
  <c r="I277" i="1" s="1"/>
  <c r="J277" i="1" s="1"/>
  <c r="G234" i="1"/>
  <c r="I235" i="1" s="1"/>
  <c r="J235" i="1" s="1"/>
  <c r="G192" i="1"/>
  <c r="I193" i="1" s="1"/>
  <c r="J193" i="1" s="1"/>
  <c r="G150" i="1"/>
  <c r="I151" i="1" s="1"/>
  <c r="J151" i="1" s="1"/>
  <c r="G108" i="1"/>
  <c r="I109" i="1" s="1"/>
  <c r="J109" i="1" s="1"/>
  <c r="G66" i="1"/>
  <c r="I67" i="1" s="1"/>
  <c r="J67" i="1" s="1"/>
  <c r="H24" i="1"/>
  <c r="G24" i="1"/>
  <c r="I25" i="1" s="1"/>
  <c r="J25" i="1" s="1"/>
  <c r="E26" i="1"/>
  <c r="E27" i="1" s="1"/>
  <c r="F25" i="1"/>
  <c r="G277" i="1" l="1"/>
  <c r="I278" i="1" s="1"/>
  <c r="J278" i="1" s="1"/>
  <c r="G235" i="1"/>
  <c r="I236" i="1" s="1"/>
  <c r="J236" i="1" s="1"/>
  <c r="G193" i="1"/>
  <c r="I194" i="1" s="1"/>
  <c r="J194" i="1" s="1"/>
  <c r="G151" i="1"/>
  <c r="I152" i="1" s="1"/>
  <c r="J152" i="1" s="1"/>
  <c r="G109" i="1"/>
  <c r="I110" i="1" s="1"/>
  <c r="J110" i="1" s="1"/>
  <c r="G67" i="1"/>
  <c r="I68" i="1" s="1"/>
  <c r="J68" i="1" s="1"/>
  <c r="H25" i="1"/>
  <c r="G25" i="1"/>
  <c r="I26" i="1" s="1"/>
  <c r="J26" i="1" s="1"/>
  <c r="F26" i="1"/>
  <c r="G278" i="1" l="1"/>
  <c r="I279" i="1" s="1"/>
  <c r="J279" i="1" s="1"/>
  <c r="G236" i="1"/>
  <c r="I237" i="1" s="1"/>
  <c r="J237" i="1" s="1"/>
  <c r="G194" i="1"/>
  <c r="I195" i="1" s="1"/>
  <c r="J195" i="1" s="1"/>
  <c r="G152" i="1"/>
  <c r="I153" i="1" s="1"/>
  <c r="J153" i="1" s="1"/>
  <c r="G110" i="1"/>
  <c r="I111" i="1" s="1"/>
  <c r="J111" i="1" s="1"/>
  <c r="G68" i="1"/>
  <c r="I69" i="1" s="1"/>
  <c r="J69" i="1" s="1"/>
  <c r="H26" i="1"/>
  <c r="G26" i="1"/>
  <c r="I27" i="1" s="1"/>
  <c r="J27" i="1" s="1"/>
  <c r="E28" i="1"/>
  <c r="F27" i="1"/>
  <c r="G279" i="1" l="1"/>
  <c r="I280" i="1" s="1"/>
  <c r="J280" i="1" s="1"/>
  <c r="G237" i="1"/>
  <c r="I238" i="1" s="1"/>
  <c r="J238" i="1" s="1"/>
  <c r="G195" i="1"/>
  <c r="I196" i="1" s="1"/>
  <c r="J196" i="1" s="1"/>
  <c r="G153" i="1"/>
  <c r="I154" i="1" s="1"/>
  <c r="J154" i="1" s="1"/>
  <c r="G111" i="1"/>
  <c r="I112" i="1" s="1"/>
  <c r="J112" i="1" s="1"/>
  <c r="G69" i="1"/>
  <c r="I70" i="1" s="1"/>
  <c r="J70" i="1" s="1"/>
  <c r="H27" i="1"/>
  <c r="G27" i="1"/>
  <c r="I28" i="1" s="1"/>
  <c r="J28" i="1" s="1"/>
  <c r="E29" i="1"/>
  <c r="E30" i="1" s="1"/>
  <c r="F28" i="1"/>
  <c r="G280" i="1" l="1"/>
  <c r="I281" i="1" s="1"/>
  <c r="J281" i="1" s="1"/>
  <c r="G238" i="1"/>
  <c r="I239" i="1" s="1"/>
  <c r="J239" i="1" s="1"/>
  <c r="G196" i="1"/>
  <c r="I197" i="1" s="1"/>
  <c r="J197" i="1" s="1"/>
  <c r="G154" i="1"/>
  <c r="I155" i="1" s="1"/>
  <c r="J155" i="1" s="1"/>
  <c r="G112" i="1"/>
  <c r="I113" i="1" s="1"/>
  <c r="J113" i="1" s="1"/>
  <c r="G70" i="1"/>
  <c r="I71" i="1" s="1"/>
  <c r="J71" i="1" s="1"/>
  <c r="H28" i="1"/>
  <c r="G28" i="1"/>
  <c r="I29" i="1" s="1"/>
  <c r="J29" i="1" s="1"/>
  <c r="F29" i="1"/>
  <c r="G281" i="1" l="1"/>
  <c r="I282" i="1" s="1"/>
  <c r="J282" i="1" s="1"/>
  <c r="G239" i="1"/>
  <c r="I240" i="1" s="1"/>
  <c r="J240" i="1" s="1"/>
  <c r="G197" i="1"/>
  <c r="I198" i="1" s="1"/>
  <c r="J198" i="1" s="1"/>
  <c r="G155" i="1"/>
  <c r="I156" i="1" s="1"/>
  <c r="J156" i="1" s="1"/>
  <c r="G113" i="1"/>
  <c r="I114" i="1" s="1"/>
  <c r="J114" i="1" s="1"/>
  <c r="G71" i="1"/>
  <c r="I72" i="1" s="1"/>
  <c r="J72" i="1" s="1"/>
  <c r="H29" i="1"/>
  <c r="G29" i="1"/>
  <c r="I30" i="1" s="1"/>
  <c r="J30" i="1" s="1"/>
  <c r="E31" i="1"/>
  <c r="F30" i="1"/>
  <c r="G282" i="1" l="1"/>
  <c r="I283" i="1" s="1"/>
  <c r="J283" i="1" s="1"/>
  <c r="G240" i="1"/>
  <c r="I241" i="1" s="1"/>
  <c r="J241" i="1" s="1"/>
  <c r="G198" i="1"/>
  <c r="I199" i="1" s="1"/>
  <c r="J199" i="1" s="1"/>
  <c r="G156" i="1"/>
  <c r="I157" i="1" s="1"/>
  <c r="J157" i="1" s="1"/>
  <c r="G114" i="1"/>
  <c r="I115" i="1" s="1"/>
  <c r="J115" i="1" s="1"/>
  <c r="G72" i="1"/>
  <c r="I73" i="1" s="1"/>
  <c r="J73" i="1" s="1"/>
  <c r="H30" i="1"/>
  <c r="G30" i="1"/>
  <c r="I31" i="1" s="1"/>
  <c r="J31" i="1" s="1"/>
  <c r="E32" i="1"/>
  <c r="F31" i="1"/>
  <c r="G283" i="1" l="1"/>
  <c r="I284" i="1" s="1"/>
  <c r="J284" i="1" s="1"/>
  <c r="G241" i="1"/>
  <c r="I242" i="1" s="1"/>
  <c r="J242" i="1" s="1"/>
  <c r="G199" i="1"/>
  <c r="I200" i="1" s="1"/>
  <c r="J200" i="1" s="1"/>
  <c r="G157" i="1"/>
  <c r="I158" i="1" s="1"/>
  <c r="J158" i="1" s="1"/>
  <c r="G115" i="1"/>
  <c r="I116" i="1" s="1"/>
  <c r="J116" i="1" s="1"/>
  <c r="G73" i="1"/>
  <c r="I74" i="1" s="1"/>
  <c r="J74" i="1" s="1"/>
  <c r="H31" i="1"/>
  <c r="G31" i="1"/>
  <c r="I32" i="1" s="1"/>
  <c r="J32" i="1" s="1"/>
  <c r="E33" i="1"/>
  <c r="F32" i="1"/>
  <c r="G284" i="1" l="1"/>
  <c r="I285" i="1" s="1"/>
  <c r="J285" i="1" s="1"/>
  <c r="G242" i="1"/>
  <c r="I243" i="1" s="1"/>
  <c r="J243" i="1" s="1"/>
  <c r="G200" i="1"/>
  <c r="I201" i="1" s="1"/>
  <c r="J201" i="1" s="1"/>
  <c r="G158" i="1"/>
  <c r="I159" i="1" s="1"/>
  <c r="J159" i="1" s="1"/>
  <c r="G116" i="1"/>
  <c r="I117" i="1" s="1"/>
  <c r="J117" i="1" s="1"/>
  <c r="G74" i="1"/>
  <c r="I75" i="1" s="1"/>
  <c r="J75" i="1" s="1"/>
  <c r="H32" i="1"/>
  <c r="G32" i="1"/>
  <c r="I33" i="1" s="1"/>
  <c r="J33" i="1" s="1"/>
  <c r="E34" i="1"/>
  <c r="F33" i="1"/>
  <c r="G285" i="1" l="1"/>
  <c r="I286" i="1" s="1"/>
  <c r="J286" i="1" s="1"/>
  <c r="G243" i="1"/>
  <c r="I244" i="1" s="1"/>
  <c r="J244" i="1" s="1"/>
  <c r="G201" i="1"/>
  <c r="I202" i="1" s="1"/>
  <c r="J202" i="1" s="1"/>
  <c r="G159" i="1"/>
  <c r="I160" i="1" s="1"/>
  <c r="J160" i="1" s="1"/>
  <c r="G117" i="1"/>
  <c r="I118" i="1" s="1"/>
  <c r="J118" i="1" s="1"/>
  <c r="G75" i="1"/>
  <c r="I76" i="1" s="1"/>
  <c r="J76" i="1" s="1"/>
  <c r="H33" i="1"/>
  <c r="G33" i="1"/>
  <c r="I34" i="1" s="1"/>
  <c r="J34" i="1" s="1"/>
  <c r="E35" i="1"/>
  <c r="F34" i="1"/>
  <c r="G286" i="1" l="1"/>
  <c r="I287" i="1" s="1"/>
  <c r="J287" i="1" s="1"/>
  <c r="G244" i="1"/>
  <c r="I245" i="1" s="1"/>
  <c r="J245" i="1" s="1"/>
  <c r="G202" i="1"/>
  <c r="I203" i="1" s="1"/>
  <c r="J203" i="1" s="1"/>
  <c r="G160" i="1"/>
  <c r="I161" i="1" s="1"/>
  <c r="J161" i="1" s="1"/>
  <c r="G118" i="1"/>
  <c r="I119" i="1" s="1"/>
  <c r="J119" i="1" s="1"/>
  <c r="G76" i="1"/>
  <c r="I77" i="1" s="1"/>
  <c r="J77" i="1" s="1"/>
  <c r="H34" i="1"/>
  <c r="G34" i="1"/>
  <c r="I35" i="1" s="1"/>
  <c r="J35" i="1" s="1"/>
  <c r="E36" i="1"/>
  <c r="F35" i="1"/>
  <c r="G287" i="1" l="1"/>
  <c r="I288" i="1" s="1"/>
  <c r="J288" i="1" s="1"/>
  <c r="G245" i="1"/>
  <c r="I246" i="1" s="1"/>
  <c r="J246" i="1" s="1"/>
  <c r="G203" i="1"/>
  <c r="I204" i="1" s="1"/>
  <c r="J204" i="1" s="1"/>
  <c r="G161" i="1"/>
  <c r="I162" i="1" s="1"/>
  <c r="J162" i="1" s="1"/>
  <c r="G119" i="1"/>
  <c r="I120" i="1" s="1"/>
  <c r="J120" i="1" s="1"/>
  <c r="G77" i="1"/>
  <c r="I78" i="1" s="1"/>
  <c r="J78" i="1" s="1"/>
  <c r="H35" i="1"/>
  <c r="G35" i="1"/>
  <c r="I36" i="1" s="1"/>
  <c r="J36" i="1" s="1"/>
  <c r="E37" i="1"/>
  <c r="F36" i="1"/>
  <c r="G288" i="1" l="1"/>
  <c r="I289" i="1" s="1"/>
  <c r="J289" i="1" s="1"/>
  <c r="G246" i="1"/>
  <c r="I247" i="1" s="1"/>
  <c r="J247" i="1" s="1"/>
  <c r="G204" i="1"/>
  <c r="I205" i="1" s="1"/>
  <c r="J205" i="1" s="1"/>
  <c r="G162" i="1"/>
  <c r="I163" i="1" s="1"/>
  <c r="J163" i="1" s="1"/>
  <c r="G120" i="1"/>
  <c r="I121" i="1" s="1"/>
  <c r="J121" i="1" s="1"/>
  <c r="G78" i="1"/>
  <c r="I79" i="1" s="1"/>
  <c r="J79" i="1" s="1"/>
  <c r="H36" i="1"/>
  <c r="G36" i="1"/>
  <c r="I37" i="1" s="1"/>
  <c r="J37" i="1" s="1"/>
  <c r="E38" i="1"/>
  <c r="F37" i="1"/>
  <c r="G289" i="1" l="1"/>
  <c r="I290" i="1" s="1"/>
  <c r="J290" i="1" s="1"/>
  <c r="G247" i="1"/>
  <c r="I248" i="1" s="1"/>
  <c r="J248" i="1" s="1"/>
  <c r="G205" i="1"/>
  <c r="I206" i="1" s="1"/>
  <c r="J206" i="1" s="1"/>
  <c r="G163" i="1"/>
  <c r="I164" i="1" s="1"/>
  <c r="J164" i="1" s="1"/>
  <c r="G121" i="1"/>
  <c r="I122" i="1" s="1"/>
  <c r="J122" i="1" s="1"/>
  <c r="G79" i="1"/>
  <c r="I80" i="1" s="1"/>
  <c r="J80" i="1" s="1"/>
  <c r="H37" i="1"/>
  <c r="G37" i="1"/>
  <c r="I38" i="1" s="1"/>
  <c r="J38" i="1" s="1"/>
  <c r="F38" i="1"/>
  <c r="G290" i="1" l="1"/>
  <c r="I291" i="1" s="1"/>
  <c r="G248" i="1"/>
  <c r="I249" i="1" s="1"/>
  <c r="G206" i="1"/>
  <c r="I207" i="1" s="1"/>
  <c r="G164" i="1"/>
  <c r="I165" i="1" s="1"/>
  <c r="G122" i="1"/>
  <c r="I123" i="1" s="1"/>
  <c r="G80" i="1"/>
  <c r="I81" i="1" s="1"/>
  <c r="H38" i="1"/>
  <c r="G38" i="1"/>
  <c r="I39" i="1" s="1"/>
</calcChain>
</file>

<file path=xl/sharedStrings.xml><?xml version="1.0" encoding="utf-8"?>
<sst xmlns="http://schemas.openxmlformats.org/spreadsheetml/2006/main" count="336" uniqueCount="23">
  <si>
    <t>Bulan</t>
  </si>
  <si>
    <t>Tahun</t>
  </si>
  <si>
    <t>Juni</t>
  </si>
  <si>
    <t>Agustus</t>
  </si>
  <si>
    <t>Juli</t>
  </si>
  <si>
    <t>September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</si>
  <si>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</si>
  <si>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</si>
  <si>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</si>
  <si>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</si>
  <si>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</si>
  <si>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</si>
  <si>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</si>
  <si>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</si>
  <si>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S't</t>
  </si>
  <si>
    <t>S''t</t>
  </si>
  <si>
    <t>at</t>
  </si>
  <si>
    <t>bt</t>
  </si>
  <si>
    <t>Ft</t>
  </si>
  <si>
    <t>PE</t>
  </si>
  <si>
    <t>|PE|</t>
  </si>
  <si>
    <t>MAPE</t>
  </si>
  <si>
    <t>Aktual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</si>
</sst>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4" fillId="2" borderId="1" xfId="0" applyFont="1" applyFill="1" applyBorder="1"/>
    <xf numFmtId="0" fontId="4" fillId="3" borderId="1" xfId="0" applyFont="1" applyFill="1" applyBorder="1"/>
    <xf numFmtId="164" fontId="4" fillId="2" borderId="1" xfId="0" applyNumberFormat="1" applyFont="1" applyFill="1" applyBorder="1"/>
    <xf numFmtId="1" fontId="4" fillId="2" borderId="1" xfId="0" applyNumberFormat="1" applyFont="1" applyFill="1" applyBorder="1"/>
    <xf numFmtId="10" fontId="0" fillId="0" borderId="0" xfId="0" applyNumberFormat="1"/>
    <xf numFmtId="0" fontId="0" fillId="3" borderId="0" xfId="0" applyFill="1"/>
    <xf numFmtId="9" fontId="4" fillId="4" borderId="1" xfId="1" applyFont="1" applyFill="1" applyBorder="1"/>
    <xf numFmtId="164" fontId="4" fillId="4" borderId="1" xfId="0" applyNumberFormat="1" applyFont="1" applyFill="1" applyBorder="1"/>
    <xf numFmtId="164" fontId="4" fillId="4" borderId="1" xfId="1" applyNumberFormat="1" applyFont="1" applyFill="1" applyBorder="1"/>
    <xf numFmtId="1" fontId="4" fillId="0" borderId="1" xfId="0" applyNumberFormat="1" applyFont="1" applyBorder="1"/>
    <xf numFmtId="1" fontId="4" fillId="0" borderId="2" xfId="0" applyNumberFormat="1" applyFont="1" applyBorder="1"/>
    <xf numFmtId="1" fontId="4" fillId="4" borderId="1" xfId="1" applyNumberFormat="1" applyFont="1" applyFill="1" applyBorder="1"/>
    <xf numFmtId="9" fontId="5" fillId="4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499237</xdr:colOff>
      <xdr:row>1</xdr:row>
      <xdr:rowOff>2054</xdr:rowOff>
    </xdr:from>
    <xdr:to>
      <xdr:col>16</xdr:col>
      <xdr:colOff>3294713</xdr:colOff>
      <xdr:row>17</xdr:row>
      <xdr:rowOff>46844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DD876CA1-4C9D-A06E-0190-82341E3A742A}"/>
                </a:ext>
              </a:extLst>
            </xdr:cNvPr>
            <xdr:cNvSpPr/>
          </xdr:nvSpPr>
          <xdr:spPr>
            <a:xfrm>
              <a:off x="16894729" y="189431"/>
              <a:ext cx="4013427" cy="304282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228600" lvl="0" indent="-228600" algn="l">
                <a:buFont typeface="+mj-lt"/>
                <a:buAutoNum type="arabicPeriod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Smoothing</a:t>
              </a:r>
              <a:r>
                <a:rPr lang="id-ID" sz="1800" b="0" i="1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Pertama (</a:t>
              </a:r>
              <a14:m>
                <m:oMath xmlns:m="http://schemas.openxmlformats.org/officeDocument/2006/math">
                  <m:sSub>
                    <m:sSubPr>
                      <m:ctrlPr>
                        <a:rPr lang="en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</m:t>
                      </m:r>
                    </m:e>
                    <m:sub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𝑋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+(1−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id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2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Smoothing Kedua (</a:t>
              </a:r>
              <a14:m>
                <m:oMath xmlns:m="http://schemas.openxmlformats.org/officeDocument/2006/math">
                  <m:sSub>
                    <m:sSubPr>
                      <m:ctrlPr>
                        <a:rPr lang="en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′′</m:t>
                      </m:r>
                    </m:e>
                    <m:sub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</m:sub>
                  </m:sSub>
                </m:oMath>
              </a14:m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+(1−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𝛼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b>
                    </m:sSub>
                  </m:oMath>
                </m:oMathPara>
              </a14:m>
              <a:endParaRPr lang="id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3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Konstanta </a:t>
              </a:r>
              <a:r>
                <a:rPr lang="id-ID" sz="1800" b="0" i="1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(</a:t>
              </a:r>
              <a14:m>
                <m:oMath xmlns:m="http://schemas.openxmlformats.org/officeDocument/2006/math">
                  <m:sSub>
                    <m:sSubPr>
                      <m:ctrlPr>
                        <a:rPr lang="en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𝑎</m:t>
                      </m:r>
                    </m:e>
                    <m:sub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sub>
                  </m:sSub>
                  <m:r>
                    <a:rPr lang="id-ID" sz="1800" b="0" i="1" cap="none" spc="0">
                      <a:ln>
                        <a:noFill/>
                      </a:ln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=2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′′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4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Konstanta Kedua </a:t>
              </a:r>
              <a14:m>
                <m:oMath xmlns:m="http://schemas.openxmlformats.org/officeDocument/2006/math">
                  <m:sSub>
                    <m:sSubPr>
                      <m:ctrlPr>
                        <a:rPr lang="en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𝑏</m:t>
                      </m:r>
                    </m:e>
                    <m:sub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sub>
                  </m:sSub>
                  <m:r>
                    <a:rPr lang="id-ID" sz="1800" b="0" i="1" cap="none" spc="0">
                      <a:ln>
                        <a:noFill/>
                      </a:ln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num>
                      <m:den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1−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den>
                    </m:f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ID" sz="1800" b="0" i="1" cap="none" spc="0">
                                <a:ln>
                                  <a:noFill/>
                                </a:ln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id-ID" sz="1800" b="0" i="1" cap="none" spc="0">
                                <a:ln>
                                  <a:noFill/>
                                </a:ln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p>
                            <m:r>
                              <a:rPr lang="id-ID" sz="1800" b="0" i="1" cap="none" spc="0">
                                <a:ln>
                                  <a:noFill/>
                                </a:ln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</m:t>
                            </m:r>
                          </m:sup>
                        </m:sSup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ID" sz="1800" b="0" i="1" cap="none" spc="0">
                                <a:ln>
                                  <a:noFill/>
                                </a:ln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id-ID" sz="1800" b="0" i="1" cap="none" spc="0">
                                <a:ln>
                                  <a:noFill/>
                                </a:ln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p>
                            <m:r>
                              <a:rPr lang="id-ID" sz="1800" b="0" i="1" cap="none" spc="0">
                                <a:ln>
                                  <a:noFill/>
                                </a:ln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′′</m:t>
                            </m:r>
                          </m:sup>
                        </m:sSup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5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Peramalan </a:t>
              </a:r>
              <a14:m>
                <m:oMath xmlns:m="http://schemas.openxmlformats.org/officeDocument/2006/math">
                  <m:sSub>
                    <m:sSubPr>
                      <m:ctrlPr>
                        <a:rPr lang="en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𝐹</m:t>
                      </m:r>
                    </m:e>
                    <m:sub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  <m:r>
                        <a:rPr lang="id-ID" sz="1800" b="0" i="1" cap="none" spc="0">
                          <a:ln>
                            <a:noFill/>
                          </a:ln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</m:sub>
                  </m:sSub>
                  <m:r>
                    <a:rPr lang="id-ID" sz="1800" b="0" i="1" cap="none" spc="0">
                      <a:ln>
                        <a:noFill/>
                      </a:ln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id-ID" sz="1800" b="0" i="1" cap="none" spc="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sub>
                    </m:sSub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id-ID" sz="1800" b="0" i="1" cap="none" spc="0">
                        <a:ln>
                          <a:noFill/>
                        </a:ln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endParaRPr lang="en-ID" sz="12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endParaRPr lang="en-ID" sz="12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algn="l"/>
              <a:endParaRPr lang="en-ID" sz="1100">
                <a:ln>
                  <a:solidFill>
                    <a:sysClr val="windowText" lastClr="000000"/>
                  </a:solidFill>
                </a:ln>
                <a:noFill/>
              </a:endParaRPr>
            </a:p>
          </xdr:txBody>
        </xdr:sp>
      </mc:Choice>
      <mc:Fallback xmlns=""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DD876CA1-4C9D-A06E-0190-82341E3A742A}"/>
                </a:ext>
              </a:extLst>
            </xdr:cNvPr>
            <xdr:cNvSpPr/>
          </xdr:nvSpPr>
          <xdr:spPr>
            <a:xfrm>
              <a:off x="16894729" y="189431"/>
              <a:ext cx="4013427" cy="304282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228600" lvl="0" indent="-228600" algn="l">
                <a:buFont typeface="+mj-lt"/>
                <a:buAutoNum type="arabicPeriod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Smoothing</a:t>
              </a:r>
              <a:r>
                <a:rPr lang="id-ID" sz="1800" b="0" i="1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Pertama (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=𝛼 𝑋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𝑡+(1−𝛼)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𝑡−1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id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2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Smoothing Kedua (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=𝛼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𝑡+(1−𝛼)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𝑡−1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id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3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Konstanta </a:t>
              </a:r>
              <a:r>
                <a:rPr lang="id-ID" sz="1800" b="0" i="1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𝑡=2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𝑡−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𝑆′′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4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Konstanta Kedua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(𝑏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𝑡=𝛼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1−𝛼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𝑡−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′′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lvl="0" indent="-228600">
                <a:buFont typeface="+mj-lt"/>
                <a:buAutoNum type="arabicPeriod" startAt="5"/>
              </a:pPr>
              <a:r>
                <a:rPr lang="id-ID" sz="1800" b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Menentukan Peramalan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(𝐹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𝑡+𝑚 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/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𝑡+𝑚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=𝑎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𝑡+𝑏</a:t>
              </a:r>
              <a:r>
                <a:rPr lang="en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id-ID" sz="1800" b="0" i="0" cap="none" spc="0">
                  <a:ln>
                    <a:noFill/>
                  </a:ln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 (𝑚)</a:t>
              </a:r>
              <a:endParaRPr lang="en-ID" sz="1800" b="0" cap="none" spc="0">
                <a:ln>
                  <a:noFill/>
                </a:ln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endParaRPr lang="en-ID" sz="12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endParaRPr lang="en-ID" sz="12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algn="l"/>
              <a:endParaRPr lang="en-ID" sz="1100">
                <a:ln>
                  <a:solidFill>
                    <a:sysClr val="windowText" lastClr="000000"/>
                  </a:solidFill>
                </a:ln>
                <a:noFill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1511-C9ED-493A-9228-DC19FA7F3878}">
  <dimension ref="A1:N291"/>
  <sheetViews>
    <sheetView tabSelected="1" topLeftCell="F18" zoomScale="78" zoomScaleNormal="40" workbookViewId="0">
      <selection activeCell="N291" sqref="N291"/>
    </sheetView>
  </sheetViews>
  <sheetFormatPr defaultRowHeight="15" x14ac:dyDescent="0.25"/>
  <cols>
    <col min="1" max="1" width="12.28515625" customWidth="1"/>
    <col min="2" max="2" width="12.140625" customWidth="1"/>
    <col min="3" max="3" width="9.42578125" customWidth="1"/>
    <col min="4" max="4" width="9.140625" customWidth="1"/>
    <col min="5" max="5" width="28.5703125" bestFit="1" customWidth="1"/>
    <col min="6" max="6" width="33.7109375" customWidth="1"/>
    <col min="7" max="7" width="29.7109375" customWidth="1"/>
    <col min="8" max="8" width="30.28515625" bestFit="1" customWidth="1"/>
    <col min="9" max="9" width="28.7109375" customWidth="1"/>
    <col min="10" max="10" width="10.5703125" bestFit="1" customWidth="1"/>
    <col min="11" max="11" width="10.5703125" customWidth="1"/>
    <col min="14" max="14" width="12.7109375" customWidth="1"/>
    <col min="17" max="17" width="56.28515625" customWidth="1"/>
    <col min="18" max="18" width="62.140625" customWidth="1"/>
    <col min="19" max="19" width="57" customWidth="1"/>
    <col min="20" max="22" width="61.28515625" customWidth="1"/>
    <col min="23" max="23" width="25.42578125" customWidth="1"/>
    <col min="24" max="24" width="23.5703125" customWidth="1"/>
    <col min="25" max="25" width="26.5703125" customWidth="1"/>
    <col min="26" max="26" width="28.140625" customWidth="1"/>
    <col min="27" max="27" width="33.28515625" customWidth="1"/>
    <col min="30" max="30" width="21.85546875" customWidth="1"/>
  </cols>
  <sheetData>
    <row r="1" spans="1:14" x14ac:dyDescent="0.25">
      <c r="A1" s="1"/>
      <c r="B1" s="1"/>
      <c r="C1" s="1"/>
    </row>
    <row r="2" spans="1:14" x14ac:dyDescent="0.25">
      <c r="B2" s="3" t="s">
        <v>0</v>
      </c>
      <c r="C2" s="3" t="s">
        <v>1</v>
      </c>
      <c r="D2" s="3" t="s">
        <v>22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N2" s="7">
        <v>0.7</v>
      </c>
    </row>
    <row r="3" spans="1:14" x14ac:dyDescent="0.25">
      <c r="B3" s="2" t="s">
        <v>2</v>
      </c>
      <c r="C3" s="2">
        <v>2021</v>
      </c>
      <c r="D3" s="2">
        <v>27</v>
      </c>
      <c r="E3" s="2">
        <v>27</v>
      </c>
      <c r="F3" s="2">
        <v>27</v>
      </c>
      <c r="G3" s="2">
        <v>27</v>
      </c>
      <c r="H3" s="2">
        <v>0</v>
      </c>
      <c r="I3" s="5"/>
      <c r="J3" s="5"/>
      <c r="K3" s="5"/>
      <c r="N3" s="7">
        <v>0.3</v>
      </c>
    </row>
    <row r="4" spans="1:14" x14ac:dyDescent="0.25">
      <c r="B4" s="2" t="s">
        <v>4</v>
      </c>
      <c r="C4" s="2">
        <v>2021</v>
      </c>
      <c r="D4" s="2">
        <v>24</v>
      </c>
      <c r="E4" s="4">
        <f>($N$2)*D4+($N$3)*E3</f>
        <v>24.9</v>
      </c>
      <c r="F4" s="4">
        <f>($N$2)*E4+($N$3)*F3</f>
        <v>25.529999999999994</v>
      </c>
      <c r="G4" s="4">
        <f>2*(E4)-(F4)</f>
        <v>24.270000000000003</v>
      </c>
      <c r="H4" s="4">
        <f>$N$2/$N$3*(E4-F4)</f>
        <v>-1.4699999999999895</v>
      </c>
      <c r="I4" s="4">
        <f>G3+H3</f>
        <v>27</v>
      </c>
      <c r="J4" s="4">
        <f>(D4-I4)/D4</f>
        <v>-0.125</v>
      </c>
      <c r="K4" s="4">
        <v>0.125</v>
      </c>
    </row>
    <row r="5" spans="1:14" x14ac:dyDescent="0.25">
      <c r="B5" s="2" t="s">
        <v>3</v>
      </c>
      <c r="C5" s="2">
        <v>2021</v>
      </c>
      <c r="D5" s="2">
        <v>22</v>
      </c>
      <c r="E5" s="4">
        <f t="shared" ref="E5:E38" si="0">($N$2)*D5+($N$3)*E4</f>
        <v>22.869999999999997</v>
      </c>
      <c r="F5" s="4">
        <f t="shared" ref="F5:F38" si="1">($N$2)*E5+($N$3)*F4</f>
        <v>23.667999999999996</v>
      </c>
      <c r="G5" s="4">
        <f t="shared" ref="G5:G38" si="2">2*(E5)-(F5)</f>
        <v>22.071999999999999</v>
      </c>
      <c r="H5" s="4">
        <f t="shared" ref="H5:H38" si="3">$N$2/$N$3*(E5-F5)</f>
        <v>-1.8619999999999961</v>
      </c>
      <c r="I5" s="4">
        <f>G4+H4</f>
        <v>22.800000000000015</v>
      </c>
      <c r="J5" s="4">
        <f>(D5-I5)/D5</f>
        <v>-3.6363636363637042E-2</v>
      </c>
      <c r="K5" s="4">
        <v>3.6363636363637E-2</v>
      </c>
    </row>
    <row r="6" spans="1:14" x14ac:dyDescent="0.25">
      <c r="B6" s="2" t="s">
        <v>5</v>
      </c>
      <c r="C6" s="2">
        <v>2021</v>
      </c>
      <c r="D6" s="2">
        <v>19</v>
      </c>
      <c r="E6" s="4">
        <f t="shared" si="0"/>
        <v>20.160999999999998</v>
      </c>
      <c r="F6" s="4">
        <f>($N$2)*E6+($N$3)*F5</f>
        <v>21.213099999999997</v>
      </c>
      <c r="G6" s="4">
        <f t="shared" si="2"/>
        <v>19.108899999999998</v>
      </c>
      <c r="H6" s="4">
        <f t="shared" si="3"/>
        <v>-2.4548999999999985</v>
      </c>
      <c r="I6" s="4">
        <f t="shared" ref="I6:I39" si="4">G5+H5</f>
        <v>20.210000000000004</v>
      </c>
      <c r="J6" s="4">
        <f t="shared" ref="J6:J38" si="5">(D6-I6)/D6</f>
        <v>-6.3684210526316024E-2</v>
      </c>
      <c r="K6" s="4">
        <v>6.3684210526315996E-2</v>
      </c>
    </row>
    <row r="7" spans="1:14" x14ac:dyDescent="0.25">
      <c r="B7" s="2" t="s">
        <v>6</v>
      </c>
      <c r="C7" s="2">
        <v>2021</v>
      </c>
      <c r="D7" s="2">
        <v>18</v>
      </c>
      <c r="E7" s="4">
        <f t="shared" si="0"/>
        <v>18.648299999999999</v>
      </c>
      <c r="F7" s="4">
        <f t="shared" si="1"/>
        <v>19.417739999999998</v>
      </c>
      <c r="G7" s="4">
        <f t="shared" si="2"/>
        <v>17.87886</v>
      </c>
      <c r="H7" s="4">
        <f t="shared" si="3"/>
        <v>-1.795359999999999</v>
      </c>
      <c r="I7" s="4">
        <f t="shared" si="4"/>
        <v>16.654</v>
      </c>
      <c r="J7" s="4">
        <f t="shared" si="5"/>
        <v>7.4777777777777776E-2</v>
      </c>
      <c r="K7" s="4">
        <v>7.4777777777777776E-2</v>
      </c>
    </row>
    <row r="8" spans="1:14" x14ac:dyDescent="0.25">
      <c r="B8" s="2" t="s">
        <v>7</v>
      </c>
      <c r="C8" s="2">
        <v>2021</v>
      </c>
      <c r="D8" s="2">
        <v>18</v>
      </c>
      <c r="E8" s="4">
        <f t="shared" si="0"/>
        <v>18.194489999999998</v>
      </c>
      <c r="F8" s="4">
        <f t="shared" si="1"/>
        <v>18.561464999999998</v>
      </c>
      <c r="G8" s="4">
        <f t="shared" si="2"/>
        <v>17.827514999999998</v>
      </c>
      <c r="H8" s="4">
        <f t="shared" si="3"/>
        <v>-0.85627500000000012</v>
      </c>
      <c r="I8" s="4">
        <f t="shared" si="4"/>
        <v>16.083500000000001</v>
      </c>
      <c r="J8" s="4">
        <f t="shared" si="5"/>
        <v>0.10647222222222218</v>
      </c>
      <c r="K8" s="4">
        <v>0.10647222222222218</v>
      </c>
    </row>
    <row r="9" spans="1:14" x14ac:dyDescent="0.25">
      <c r="B9" s="2" t="s">
        <v>8</v>
      </c>
      <c r="C9" s="2">
        <v>2021</v>
      </c>
      <c r="D9" s="2">
        <v>15</v>
      </c>
      <c r="E9" s="4">
        <f t="shared" si="0"/>
        <v>15.958347</v>
      </c>
      <c r="F9" s="4">
        <f t="shared" si="1"/>
        <v>16.739282399999997</v>
      </c>
      <c r="G9" s="4">
        <f t="shared" si="2"/>
        <v>15.177411600000003</v>
      </c>
      <c r="H9" s="4">
        <f t="shared" si="3"/>
        <v>-1.8221825999999932</v>
      </c>
      <c r="I9" s="4">
        <f t="shared" si="4"/>
        <v>16.971239999999998</v>
      </c>
      <c r="J9" s="4">
        <f t="shared" si="5"/>
        <v>-0.13141599999999987</v>
      </c>
      <c r="K9" s="4">
        <v>0.13141600000000001</v>
      </c>
    </row>
    <row r="10" spans="1:14" x14ac:dyDescent="0.25">
      <c r="B10" s="2" t="s">
        <v>9</v>
      </c>
      <c r="C10" s="2">
        <v>2022</v>
      </c>
      <c r="D10" s="2">
        <v>20</v>
      </c>
      <c r="E10" s="4">
        <f t="shared" si="0"/>
        <v>18.7875041</v>
      </c>
      <c r="F10" s="4">
        <f t="shared" si="1"/>
        <v>18.173037589999996</v>
      </c>
      <c r="G10" s="4">
        <f t="shared" si="2"/>
        <v>19.401970610000003</v>
      </c>
      <c r="H10" s="4">
        <f t="shared" si="3"/>
        <v>1.4337551900000078</v>
      </c>
      <c r="I10" s="4">
        <f>G9+H9</f>
        <v>13.35522900000001</v>
      </c>
      <c r="J10" s="4">
        <f t="shared" si="5"/>
        <v>0.33223854999999947</v>
      </c>
      <c r="K10" s="4">
        <v>0.33223854999999947</v>
      </c>
    </row>
    <row r="11" spans="1:14" x14ac:dyDescent="0.25">
      <c r="B11" s="2" t="s">
        <v>10</v>
      </c>
      <c r="C11" s="2">
        <v>2022</v>
      </c>
      <c r="D11" s="2">
        <v>22</v>
      </c>
      <c r="E11" s="4">
        <f t="shared" si="0"/>
        <v>21.036251229999998</v>
      </c>
      <c r="F11" s="4">
        <f t="shared" si="1"/>
        <v>20.177287137999997</v>
      </c>
      <c r="G11" s="4">
        <f t="shared" si="2"/>
        <v>21.895215321999999</v>
      </c>
      <c r="H11" s="4">
        <f t="shared" si="3"/>
        <v>2.004249548000002</v>
      </c>
      <c r="I11" s="4">
        <f t="shared" si="4"/>
        <v>20.835725800000009</v>
      </c>
      <c r="J11" s="4">
        <f t="shared" si="5"/>
        <v>5.2921554545454115E-2</v>
      </c>
      <c r="K11" s="4">
        <v>5.2921554545454115E-2</v>
      </c>
    </row>
    <row r="12" spans="1:14" x14ac:dyDescent="0.25">
      <c r="B12" s="2" t="s">
        <v>11</v>
      </c>
      <c r="C12" s="2">
        <v>2022</v>
      </c>
      <c r="D12" s="2">
        <v>26</v>
      </c>
      <c r="E12" s="4">
        <f t="shared" si="0"/>
        <v>24.510875368999997</v>
      </c>
      <c r="F12" s="4">
        <f t="shared" si="1"/>
        <v>23.210798899699995</v>
      </c>
      <c r="G12" s="4">
        <f t="shared" si="2"/>
        <v>25.810951838299999</v>
      </c>
      <c r="H12" s="4">
        <f t="shared" si="3"/>
        <v>3.0335117617000051</v>
      </c>
      <c r="I12" s="4">
        <f t="shared" si="4"/>
        <v>23.899464869999999</v>
      </c>
      <c r="J12" s="4">
        <f t="shared" si="5"/>
        <v>8.0789812692307728E-2</v>
      </c>
      <c r="K12" s="4">
        <v>8.0789812692307728E-2</v>
      </c>
    </row>
    <row r="13" spans="1:14" x14ac:dyDescent="0.25">
      <c r="B13" s="2" t="s">
        <v>12</v>
      </c>
      <c r="C13" s="2">
        <v>2022</v>
      </c>
      <c r="D13" s="2">
        <v>26</v>
      </c>
      <c r="E13" s="4">
        <f t="shared" si="0"/>
        <v>25.553262610699999</v>
      </c>
      <c r="F13" s="4">
        <f t="shared" si="1"/>
        <v>24.850523497399998</v>
      </c>
      <c r="G13" s="4">
        <f t="shared" si="2"/>
        <v>26.256001724000001</v>
      </c>
      <c r="H13" s="4">
        <f t="shared" si="3"/>
        <v>1.6397245977000039</v>
      </c>
      <c r="I13" s="4">
        <f t="shared" si="4"/>
        <v>28.844463600000005</v>
      </c>
      <c r="J13" s="4">
        <f t="shared" si="5"/>
        <v>-0.10940244615384632</v>
      </c>
      <c r="K13" s="4">
        <v>0.10940244615384601</v>
      </c>
    </row>
    <row r="14" spans="1:14" x14ac:dyDescent="0.25">
      <c r="B14" s="2" t="s">
        <v>13</v>
      </c>
      <c r="C14" s="2">
        <v>2022</v>
      </c>
      <c r="D14" s="2">
        <v>28</v>
      </c>
      <c r="E14" s="4">
        <f t="shared" si="0"/>
        <v>27.265978783209995</v>
      </c>
      <c r="F14" s="4">
        <f t="shared" si="1"/>
        <v>26.541342197466992</v>
      </c>
      <c r="G14" s="4">
        <f>2*(E14)-(F14)</f>
        <v>27.990615368952998</v>
      </c>
      <c r="H14" s="4">
        <f t="shared" si="3"/>
        <v>1.6908187000670067</v>
      </c>
      <c r="I14" s="4">
        <f t="shared" si="4"/>
        <v>27.895726321700003</v>
      </c>
      <c r="J14" s="4">
        <f t="shared" si="5"/>
        <v>3.7240599392855955E-3</v>
      </c>
      <c r="K14" s="4">
        <v>3.7240599392855955E-3</v>
      </c>
    </row>
    <row r="15" spans="1:14" x14ac:dyDescent="0.25">
      <c r="B15" s="2" t="s">
        <v>2</v>
      </c>
      <c r="C15" s="2">
        <v>2022</v>
      </c>
      <c r="D15" s="11">
        <v>30</v>
      </c>
      <c r="E15" s="4">
        <f t="shared" si="0"/>
        <v>29.179793634962998</v>
      </c>
      <c r="F15" s="4">
        <f t="shared" si="1"/>
        <v>28.388258203714194</v>
      </c>
      <c r="G15" s="4">
        <f t="shared" si="2"/>
        <v>29.971329066211801</v>
      </c>
      <c r="H15" s="4">
        <f t="shared" si="3"/>
        <v>1.8469160062472081</v>
      </c>
      <c r="I15" s="4">
        <f t="shared" si="4"/>
        <v>29.681434069020003</v>
      </c>
      <c r="J15" s="4">
        <f t="shared" si="5"/>
        <v>1.0618864365999887E-2</v>
      </c>
      <c r="K15" s="4">
        <v>1.0618864365999887E-2</v>
      </c>
      <c r="M15" s="6"/>
      <c r="N15" s="6"/>
    </row>
    <row r="16" spans="1:14" x14ac:dyDescent="0.25">
      <c r="B16" s="2" t="s">
        <v>4</v>
      </c>
      <c r="C16" s="2">
        <v>2022</v>
      </c>
      <c r="D16" s="11">
        <v>33</v>
      </c>
      <c r="E16" s="4">
        <f t="shared" si="0"/>
        <v>31.853938090488896</v>
      </c>
      <c r="F16" s="4">
        <f t="shared" si="1"/>
        <v>30.814234124456483</v>
      </c>
      <c r="G16" s="4">
        <f t="shared" si="2"/>
        <v>32.893642056521308</v>
      </c>
      <c r="H16" s="4">
        <f t="shared" si="3"/>
        <v>2.425975920742296</v>
      </c>
      <c r="I16" s="4">
        <f t="shared" si="4"/>
        <v>31.81824507245901</v>
      </c>
      <c r="J16" s="4">
        <f t="shared" si="5"/>
        <v>3.5810755380029986E-2</v>
      </c>
      <c r="K16" s="4">
        <v>3.5810755380029986E-2</v>
      </c>
    </row>
    <row r="17" spans="2:11" x14ac:dyDescent="0.25">
      <c r="B17" s="2" t="s">
        <v>3</v>
      </c>
      <c r="C17" s="2">
        <v>2022</v>
      </c>
      <c r="D17" s="11">
        <v>31</v>
      </c>
      <c r="E17" s="4">
        <f t="shared" si="0"/>
        <v>31.256181427146668</v>
      </c>
      <c r="F17" s="4">
        <f t="shared" si="1"/>
        <v>31.123597236339613</v>
      </c>
      <c r="G17" s="4">
        <f t="shared" si="2"/>
        <v>31.388765617953723</v>
      </c>
      <c r="H17" s="4">
        <f t="shared" si="3"/>
        <v>0.30936311188312854</v>
      </c>
      <c r="I17" s="4">
        <f t="shared" si="4"/>
        <v>35.319617977263604</v>
      </c>
      <c r="J17" s="4">
        <f t="shared" si="5"/>
        <v>-0.13934251539560014</v>
      </c>
      <c r="K17" s="4">
        <v>0.1393425153956</v>
      </c>
    </row>
    <row r="18" spans="2:11" x14ac:dyDescent="0.25">
      <c r="B18" s="2" t="s">
        <v>5</v>
      </c>
      <c r="C18" s="2">
        <v>2022</v>
      </c>
      <c r="D18" s="11">
        <v>30</v>
      </c>
      <c r="E18" s="4">
        <f t="shared" si="0"/>
        <v>30.376854428144</v>
      </c>
      <c r="F18" s="4">
        <f t="shared" si="1"/>
        <v>30.600877270602684</v>
      </c>
      <c r="G18" s="4">
        <f t="shared" si="2"/>
        <v>30.152831585685316</v>
      </c>
      <c r="H18" s="4">
        <f t="shared" si="3"/>
        <v>-0.52271996573692903</v>
      </c>
      <c r="I18" s="4">
        <f t="shared" si="4"/>
        <v>31.698128729836853</v>
      </c>
      <c r="J18" s="4">
        <f t="shared" si="5"/>
        <v>-5.6604290994561761E-2</v>
      </c>
      <c r="K18" s="4">
        <v>5.6604290994561803E-2</v>
      </c>
    </row>
    <row r="19" spans="2:11" x14ac:dyDescent="0.25">
      <c r="B19" s="2" t="s">
        <v>6</v>
      </c>
      <c r="C19" s="2">
        <v>2022</v>
      </c>
      <c r="D19" s="11">
        <v>29</v>
      </c>
      <c r="E19" s="4">
        <f t="shared" si="0"/>
        <v>29.413056328443197</v>
      </c>
      <c r="F19" s="4">
        <f t="shared" si="1"/>
        <v>29.769402611091042</v>
      </c>
      <c r="G19" s="4">
        <f t="shared" si="2"/>
        <v>29.056710045795352</v>
      </c>
      <c r="H19" s="4">
        <f t="shared" si="3"/>
        <v>-0.83147465951163824</v>
      </c>
      <c r="I19" s="4">
        <f t="shared" si="4"/>
        <v>29.630111619948387</v>
      </c>
      <c r="J19" s="4">
        <f t="shared" si="5"/>
        <v>-2.172798689477197E-2</v>
      </c>
      <c r="K19" s="4">
        <v>2.1727986894772001E-2</v>
      </c>
    </row>
    <row r="20" spans="2:11" x14ac:dyDescent="0.25">
      <c r="B20" s="2" t="s">
        <v>7</v>
      </c>
      <c r="C20" s="2">
        <v>2022</v>
      </c>
      <c r="D20" s="11">
        <v>27</v>
      </c>
      <c r="E20" s="4">
        <f t="shared" si="0"/>
        <v>27.723916898532956</v>
      </c>
      <c r="F20" s="4">
        <f t="shared" si="1"/>
        <v>28.337562612300381</v>
      </c>
      <c r="G20" s="4">
        <f t="shared" si="2"/>
        <v>27.11027118476553</v>
      </c>
      <c r="H20" s="4">
        <f t="shared" si="3"/>
        <v>-1.4318399987906598</v>
      </c>
      <c r="I20" s="4">
        <f t="shared" si="4"/>
        <v>28.225235386283714</v>
      </c>
      <c r="J20" s="4">
        <f t="shared" si="5"/>
        <v>-4.5379088380878292E-2</v>
      </c>
      <c r="K20" s="4">
        <v>4.5379088380878299E-2</v>
      </c>
    </row>
    <row r="21" spans="2:11" x14ac:dyDescent="0.25">
      <c r="B21" s="2" t="s">
        <v>8</v>
      </c>
      <c r="C21" s="2">
        <v>2022</v>
      </c>
      <c r="D21" s="11">
        <v>26</v>
      </c>
      <c r="E21" s="4">
        <f t="shared" si="0"/>
        <v>26.517175069559883</v>
      </c>
      <c r="F21" s="4">
        <f t="shared" si="1"/>
        <v>27.063291332382029</v>
      </c>
      <c r="G21" s="4">
        <f t="shared" si="2"/>
        <v>25.971058806737737</v>
      </c>
      <c r="H21" s="4">
        <f t="shared" si="3"/>
        <v>-1.2742712799183404</v>
      </c>
      <c r="I21" s="4">
        <f t="shared" si="4"/>
        <v>25.678431185974869</v>
      </c>
      <c r="J21" s="4">
        <f t="shared" si="5"/>
        <v>1.2368031308658881E-2</v>
      </c>
      <c r="K21" s="4">
        <v>1.2368031308658881E-2</v>
      </c>
    </row>
    <row r="22" spans="2:11" x14ac:dyDescent="0.25">
      <c r="B22" s="2" t="s">
        <v>9</v>
      </c>
      <c r="C22" s="11">
        <v>2023</v>
      </c>
      <c r="D22" s="11">
        <v>28</v>
      </c>
      <c r="E22" s="4">
        <f t="shared" si="0"/>
        <v>27.555152520867964</v>
      </c>
      <c r="F22" s="4">
        <f t="shared" si="1"/>
        <v>27.40759416432218</v>
      </c>
      <c r="G22" s="4">
        <f t="shared" si="2"/>
        <v>27.702710877413747</v>
      </c>
      <c r="H22" s="4">
        <f t="shared" si="3"/>
        <v>0.34430283194016081</v>
      </c>
      <c r="I22" s="4">
        <f t="shared" si="4"/>
        <v>24.696787526819396</v>
      </c>
      <c r="J22" s="4">
        <f t="shared" si="5"/>
        <v>0.11797187404216444</v>
      </c>
      <c r="K22" s="4">
        <v>0.11797187404216444</v>
      </c>
    </row>
    <row r="23" spans="2:11" x14ac:dyDescent="0.25">
      <c r="B23" s="2" t="s">
        <v>10</v>
      </c>
      <c r="C23" s="11">
        <v>2023</v>
      </c>
      <c r="D23" s="11">
        <v>28</v>
      </c>
      <c r="E23" s="4">
        <f t="shared" si="0"/>
        <v>27.866545756260386</v>
      </c>
      <c r="F23" s="4">
        <f t="shared" si="1"/>
        <v>27.728860278678923</v>
      </c>
      <c r="G23" s="4">
        <f t="shared" si="2"/>
        <v>28.00423123384185</v>
      </c>
      <c r="H23" s="4">
        <f t="shared" si="3"/>
        <v>0.32126611435674829</v>
      </c>
      <c r="I23" s="4">
        <f t="shared" si="4"/>
        <v>28.047013709353909</v>
      </c>
      <c r="J23" s="4">
        <f t="shared" si="5"/>
        <v>-1.679061048353882E-3</v>
      </c>
      <c r="K23" s="4">
        <v>1.6790610483538801E-3</v>
      </c>
    </row>
    <row r="24" spans="2:11" x14ac:dyDescent="0.25">
      <c r="B24" s="2" t="s">
        <v>11</v>
      </c>
      <c r="C24" s="11">
        <v>2023</v>
      </c>
      <c r="D24" s="11">
        <v>29</v>
      </c>
      <c r="E24" s="4">
        <f t="shared" si="0"/>
        <v>28.659963726878111</v>
      </c>
      <c r="F24" s="4">
        <f t="shared" si="1"/>
        <v>28.380632692418352</v>
      </c>
      <c r="G24" s="4">
        <f t="shared" si="2"/>
        <v>28.939294761337869</v>
      </c>
      <c r="H24" s="4">
        <f t="shared" si="3"/>
        <v>0.65177241373943673</v>
      </c>
      <c r="I24" s="4">
        <f t="shared" si="4"/>
        <v>28.325497348198599</v>
      </c>
      <c r="J24" s="4">
        <f t="shared" si="5"/>
        <v>2.3258712131082784E-2</v>
      </c>
      <c r="K24" s="4">
        <v>2.3258712131082784E-2</v>
      </c>
    </row>
    <row r="25" spans="2:11" x14ac:dyDescent="0.25">
      <c r="B25" s="2" t="s">
        <v>12</v>
      </c>
      <c r="C25" s="11">
        <v>2023</v>
      </c>
      <c r="D25" s="11">
        <v>29</v>
      </c>
      <c r="E25" s="4">
        <f t="shared" si="0"/>
        <v>28.897989118063428</v>
      </c>
      <c r="F25" s="4">
        <f t="shared" si="1"/>
        <v>28.742782190369901</v>
      </c>
      <c r="G25" s="4">
        <f t="shared" si="2"/>
        <v>29.053196045756955</v>
      </c>
      <c r="H25" s="4">
        <f t="shared" si="3"/>
        <v>0.36214949795156315</v>
      </c>
      <c r="I25" s="4">
        <f t="shared" si="4"/>
        <v>29.591067175077306</v>
      </c>
      <c r="J25" s="4">
        <f t="shared" si="5"/>
        <v>-2.0381626726803662E-2</v>
      </c>
      <c r="K25" s="4">
        <v>2.03816267268037E-2</v>
      </c>
    </row>
    <row r="26" spans="2:11" x14ac:dyDescent="0.25">
      <c r="B26" s="2" t="s">
        <v>13</v>
      </c>
      <c r="C26" s="11">
        <v>2023</v>
      </c>
      <c r="D26" s="11">
        <v>30</v>
      </c>
      <c r="E26" s="4">
        <f t="shared" si="0"/>
        <v>29.669396735419028</v>
      </c>
      <c r="F26" s="4">
        <f t="shared" si="1"/>
        <v>29.391412371904288</v>
      </c>
      <c r="G26" s="4">
        <f t="shared" si="2"/>
        <v>29.947381098933768</v>
      </c>
      <c r="H26" s="4">
        <f t="shared" si="3"/>
        <v>0.64863018153439356</v>
      </c>
      <c r="I26" s="4">
        <f t="shared" si="4"/>
        <v>29.415345543708519</v>
      </c>
      <c r="J26" s="4">
        <f t="shared" si="5"/>
        <v>1.9488481876382715E-2</v>
      </c>
      <c r="K26" s="4">
        <v>1.9488481876382715E-2</v>
      </c>
    </row>
    <row r="27" spans="2:11" x14ac:dyDescent="0.25">
      <c r="B27" s="2" t="s">
        <v>2</v>
      </c>
      <c r="C27" s="11">
        <v>2023</v>
      </c>
      <c r="D27" s="11">
        <v>30</v>
      </c>
      <c r="E27" s="4">
        <f>($N$2)*D27+($N$3)*E26</f>
        <v>29.900819020625708</v>
      </c>
      <c r="F27" s="4">
        <f t="shared" si="1"/>
        <v>29.74799702600928</v>
      </c>
      <c r="G27" s="4">
        <f t="shared" si="2"/>
        <v>30.053641015242135</v>
      </c>
      <c r="H27" s="4">
        <f t="shared" si="3"/>
        <v>0.35658465410499812</v>
      </c>
      <c r="I27" s="4">
        <f t="shared" si="4"/>
        <v>30.596011280468161</v>
      </c>
      <c r="J27" s="4">
        <f t="shared" si="5"/>
        <v>-1.9867042682272049E-2</v>
      </c>
      <c r="K27" s="4">
        <v>1.9867042682272001E-2</v>
      </c>
    </row>
    <row r="28" spans="2:11" x14ac:dyDescent="0.25">
      <c r="B28" s="2" t="s">
        <v>4</v>
      </c>
      <c r="C28" s="11">
        <v>2023</v>
      </c>
      <c r="D28" s="11">
        <v>28</v>
      </c>
      <c r="E28" s="4">
        <f t="shared" si="0"/>
        <v>28.570245706187709</v>
      </c>
      <c r="F28" s="4">
        <f t="shared" si="1"/>
        <v>28.923571102134176</v>
      </c>
      <c r="G28" s="4">
        <f t="shared" si="2"/>
        <v>28.216920310241242</v>
      </c>
      <c r="H28" s="4">
        <f t="shared" si="3"/>
        <v>-0.82442592387508884</v>
      </c>
      <c r="I28" s="4">
        <f t="shared" si="4"/>
        <v>30.410225669347135</v>
      </c>
      <c r="J28" s="4">
        <f t="shared" si="5"/>
        <v>-8.6079488190969097E-2</v>
      </c>
      <c r="K28" s="4">
        <v>8.6079488190969097E-2</v>
      </c>
    </row>
    <row r="29" spans="2:11" x14ac:dyDescent="0.25">
      <c r="B29" s="2" t="s">
        <v>3</v>
      </c>
      <c r="C29" s="11">
        <v>2023</v>
      </c>
      <c r="D29" s="11">
        <v>26</v>
      </c>
      <c r="E29" s="4">
        <f t="shared" si="0"/>
        <v>26.77107371185631</v>
      </c>
      <c r="F29" s="4">
        <f t="shared" si="1"/>
        <v>27.41682292893967</v>
      </c>
      <c r="G29" s="4">
        <f t="shared" si="2"/>
        <v>26.125324494772951</v>
      </c>
      <c r="H29" s="4">
        <f t="shared" si="3"/>
        <v>-1.5067481731945058</v>
      </c>
      <c r="I29" s="4">
        <f t="shared" si="4"/>
        <v>27.392494386366153</v>
      </c>
      <c r="J29" s="4">
        <f t="shared" si="5"/>
        <v>-5.3557476398698171E-2</v>
      </c>
      <c r="K29" s="4">
        <v>5.3557476398698199E-2</v>
      </c>
    </row>
    <row r="30" spans="2:11" x14ac:dyDescent="0.25">
      <c r="B30" s="2" t="s">
        <v>5</v>
      </c>
      <c r="C30" s="11">
        <v>2023</v>
      </c>
      <c r="D30" s="11">
        <v>24</v>
      </c>
      <c r="E30" s="4">
        <f>($N$2)*D30+($N$3)*E29</f>
        <v>24.83132211355689</v>
      </c>
      <c r="F30" s="4">
        <f t="shared" si="1"/>
        <v>25.606972358171724</v>
      </c>
      <c r="G30" s="4">
        <f t="shared" si="2"/>
        <v>24.055671868942056</v>
      </c>
      <c r="H30" s="4">
        <f t="shared" si="3"/>
        <v>-1.809850570767946</v>
      </c>
      <c r="I30" s="4">
        <f t="shared" si="4"/>
        <v>24.618576321578445</v>
      </c>
      <c r="J30" s="4">
        <f t="shared" si="5"/>
        <v>-2.5774013399101865E-2</v>
      </c>
      <c r="K30" s="4">
        <v>2.5774013399101899E-2</v>
      </c>
    </row>
    <row r="31" spans="2:11" x14ac:dyDescent="0.25">
      <c r="B31" s="2" t="s">
        <v>6</v>
      </c>
      <c r="C31" s="11">
        <v>2023</v>
      </c>
      <c r="D31" s="11">
        <v>20</v>
      </c>
      <c r="E31" s="4">
        <f t="shared" si="0"/>
        <v>21.449396634067067</v>
      </c>
      <c r="F31" s="4">
        <f t="shared" si="1"/>
        <v>22.696669351298464</v>
      </c>
      <c r="G31" s="4">
        <f t="shared" si="2"/>
        <v>20.202123916835671</v>
      </c>
      <c r="H31" s="4">
        <f t="shared" si="3"/>
        <v>-2.9103030068732592</v>
      </c>
      <c r="I31" s="4">
        <f t="shared" si="4"/>
        <v>22.245821298174111</v>
      </c>
      <c r="J31" s="4">
        <f t="shared" si="5"/>
        <v>-0.11229106490870552</v>
      </c>
      <c r="K31" s="4">
        <v>0.112291064908706</v>
      </c>
    </row>
    <row r="32" spans="2:11" x14ac:dyDescent="0.25">
      <c r="B32" s="2" t="s">
        <v>7</v>
      </c>
      <c r="C32" s="11">
        <v>2024</v>
      </c>
      <c r="D32" s="11">
        <v>22</v>
      </c>
      <c r="E32" s="4">
        <f t="shared" si="0"/>
        <v>21.834818990220118</v>
      </c>
      <c r="F32" s="4">
        <f t="shared" si="1"/>
        <v>22.09337409854362</v>
      </c>
      <c r="G32" s="4">
        <f t="shared" si="2"/>
        <v>21.576263881896615</v>
      </c>
      <c r="H32" s="4">
        <f t="shared" si="3"/>
        <v>-0.6032952527548392</v>
      </c>
      <c r="I32" s="4">
        <f t="shared" si="4"/>
        <v>17.291820909962411</v>
      </c>
      <c r="J32" s="4">
        <f t="shared" si="5"/>
        <v>0.21400814045625405</v>
      </c>
      <c r="K32" s="4">
        <v>0.21400814045625405</v>
      </c>
    </row>
    <row r="33" spans="2:14" x14ac:dyDescent="0.25">
      <c r="B33" s="2" t="s">
        <v>8</v>
      </c>
      <c r="C33" s="11">
        <v>2024</v>
      </c>
      <c r="D33" s="11">
        <v>19</v>
      </c>
      <c r="E33" s="4">
        <f t="shared" si="0"/>
        <v>19.850445697066036</v>
      </c>
      <c r="F33" s="4">
        <f t="shared" si="1"/>
        <v>20.523324217509309</v>
      </c>
      <c r="G33" s="4">
        <f t="shared" si="2"/>
        <v>19.177567176622762</v>
      </c>
      <c r="H33" s="4">
        <f t="shared" si="3"/>
        <v>-1.5700498810343042</v>
      </c>
      <c r="I33" s="4">
        <f t="shared" si="4"/>
        <v>20.972968629141775</v>
      </c>
      <c r="J33" s="4">
        <f t="shared" si="5"/>
        <v>-0.10384045416535657</v>
      </c>
      <c r="K33" s="4">
        <v>0.103840454165357</v>
      </c>
    </row>
    <row r="34" spans="2:14" x14ac:dyDescent="0.25">
      <c r="B34" s="2" t="s">
        <v>9</v>
      </c>
      <c r="C34" s="11">
        <v>2024</v>
      </c>
      <c r="D34" s="11">
        <v>31</v>
      </c>
      <c r="E34" s="4">
        <f t="shared" si="0"/>
        <v>27.655133709119809</v>
      </c>
      <c r="F34" s="4">
        <f t="shared" si="1"/>
        <v>25.51559086163666</v>
      </c>
      <c r="G34" s="4">
        <f t="shared" si="2"/>
        <v>29.794676556602958</v>
      </c>
      <c r="H34" s="4">
        <f t="shared" si="3"/>
        <v>4.9922666441273478</v>
      </c>
      <c r="I34" s="4">
        <f t="shared" si="4"/>
        <v>17.607517295588458</v>
      </c>
      <c r="J34" s="4">
        <f t="shared" si="5"/>
        <v>0.43201557111004973</v>
      </c>
      <c r="K34" s="4">
        <v>0.43201557111004973</v>
      </c>
    </row>
    <row r="35" spans="2:14" x14ac:dyDescent="0.25">
      <c r="B35" s="2" t="s">
        <v>10</v>
      </c>
      <c r="C35" s="11">
        <v>2024</v>
      </c>
      <c r="D35" s="11">
        <v>34</v>
      </c>
      <c r="E35" s="4">
        <f t="shared" si="0"/>
        <v>32.096540112735937</v>
      </c>
      <c r="F35" s="4">
        <f t="shared" si="1"/>
        <v>30.122255337406152</v>
      </c>
      <c r="G35" s="4">
        <f t="shared" si="2"/>
        <v>34.070824888065722</v>
      </c>
      <c r="H35" s="4">
        <f t="shared" si="3"/>
        <v>4.6066644757694988</v>
      </c>
      <c r="I35" s="4">
        <f t="shared" si="4"/>
        <v>34.786943200730306</v>
      </c>
      <c r="J35" s="4">
        <f t="shared" si="5"/>
        <v>-2.3145388256773709E-2</v>
      </c>
      <c r="K35" s="4">
        <v>2.3145388256773699E-2</v>
      </c>
    </row>
    <row r="36" spans="2:14" x14ac:dyDescent="0.25">
      <c r="B36" s="2" t="s">
        <v>11</v>
      </c>
      <c r="C36" s="11">
        <v>2024</v>
      </c>
      <c r="D36" s="11">
        <v>36</v>
      </c>
      <c r="E36" s="4">
        <f t="shared" si="0"/>
        <v>34.82896203382078</v>
      </c>
      <c r="F36" s="4">
        <f t="shared" si="1"/>
        <v>33.416950024896394</v>
      </c>
      <c r="G36" s="4">
        <f t="shared" si="2"/>
        <v>36.240974042745165</v>
      </c>
      <c r="H36" s="4">
        <f t="shared" si="3"/>
        <v>3.294694687490233</v>
      </c>
      <c r="I36" s="4">
        <f t="shared" si="4"/>
        <v>38.677489363835221</v>
      </c>
      <c r="J36" s="4">
        <f t="shared" si="5"/>
        <v>-7.437470455097836E-2</v>
      </c>
      <c r="K36" s="4">
        <v>7.4374704550978402E-2</v>
      </c>
    </row>
    <row r="37" spans="2:14" x14ac:dyDescent="0.25">
      <c r="B37" s="2" t="s">
        <v>12</v>
      </c>
      <c r="C37" s="11">
        <v>2024</v>
      </c>
      <c r="D37" s="11">
        <v>38</v>
      </c>
      <c r="E37" s="4">
        <f t="shared" si="0"/>
        <v>37.048688610146229</v>
      </c>
      <c r="F37" s="4">
        <f t="shared" si="1"/>
        <v>35.95916703457128</v>
      </c>
      <c r="G37" s="4">
        <f t="shared" si="2"/>
        <v>38.138210185721178</v>
      </c>
      <c r="H37" s="4">
        <f t="shared" si="3"/>
        <v>2.5422170096748813</v>
      </c>
      <c r="I37" s="4">
        <f t="shared" si="4"/>
        <v>39.5356687302354</v>
      </c>
      <c r="J37" s="4">
        <f t="shared" si="5"/>
        <v>-4.0412335006194747E-2</v>
      </c>
      <c r="K37" s="4">
        <v>4.0412335006194698E-2</v>
      </c>
    </row>
    <row r="38" spans="2:14" x14ac:dyDescent="0.25">
      <c r="B38" s="2" t="s">
        <v>13</v>
      </c>
      <c r="C38" s="12">
        <v>2024</v>
      </c>
      <c r="D38" s="12">
        <v>40</v>
      </c>
      <c r="E38" s="4">
        <f t="shared" si="0"/>
        <v>39.114606583043866</v>
      </c>
      <c r="F38" s="4">
        <f t="shared" si="1"/>
        <v>38.167974718502087</v>
      </c>
      <c r="G38" s="4">
        <f t="shared" si="2"/>
        <v>40.061238447585644</v>
      </c>
      <c r="H38" s="4">
        <f t="shared" si="3"/>
        <v>2.2088076839308171</v>
      </c>
      <c r="I38" s="4">
        <f t="shared" si="4"/>
        <v>40.680427195396057</v>
      </c>
      <c r="J38" s="4">
        <f t="shared" si="5"/>
        <v>-1.7010679884901413E-2</v>
      </c>
      <c r="K38" s="4">
        <v>1.7010679884901399E-2</v>
      </c>
    </row>
    <row r="39" spans="2:14" x14ac:dyDescent="0.25">
      <c r="B39" s="8" t="s">
        <v>2</v>
      </c>
      <c r="C39" s="13">
        <v>2024</v>
      </c>
      <c r="D39" s="8"/>
      <c r="E39" s="10"/>
      <c r="F39" s="10"/>
      <c r="G39" s="10"/>
      <c r="H39" s="10"/>
      <c r="I39" s="9">
        <f t="shared" si="4"/>
        <v>42.270046131516459</v>
      </c>
      <c r="J39" s="14" t="s">
        <v>21</v>
      </c>
      <c r="K39" s="10">
        <f>100/36*SUM(K4:K38)</f>
        <v>7.8438831049344175</v>
      </c>
    </row>
    <row r="44" spans="2:14" x14ac:dyDescent="0.25">
      <c r="B44" s="3" t="s">
        <v>0</v>
      </c>
      <c r="C44" s="3" t="s">
        <v>1</v>
      </c>
      <c r="D44" s="3" t="s">
        <v>22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 t="s">
        <v>19</v>
      </c>
      <c r="K44" s="3" t="s">
        <v>20</v>
      </c>
      <c r="N44" s="7">
        <v>0.6</v>
      </c>
    </row>
    <row r="45" spans="2:14" x14ac:dyDescent="0.25">
      <c r="B45" s="2" t="s">
        <v>2</v>
      </c>
      <c r="C45" s="2">
        <v>2021</v>
      </c>
      <c r="D45" s="2">
        <v>27</v>
      </c>
      <c r="E45" s="2">
        <v>27</v>
      </c>
      <c r="F45" s="2">
        <v>27</v>
      </c>
      <c r="G45" s="2">
        <v>27</v>
      </c>
      <c r="H45" s="2">
        <v>0</v>
      </c>
      <c r="I45" s="5"/>
      <c r="J45" s="5"/>
      <c r="K45" s="5"/>
      <c r="N45" s="7">
        <v>0.4</v>
      </c>
    </row>
    <row r="46" spans="2:14" x14ac:dyDescent="0.25">
      <c r="B46" s="2" t="s">
        <v>4</v>
      </c>
      <c r="C46" s="2">
        <v>2021</v>
      </c>
      <c r="D46" s="2">
        <v>24</v>
      </c>
      <c r="E46" s="4">
        <f>($N$44)*D46+($N$45)*E45</f>
        <v>25.2</v>
      </c>
      <c r="F46" s="4">
        <f>($N$44)*E46+($N$45)*F45</f>
        <v>25.92</v>
      </c>
      <c r="G46" s="4">
        <f>2*(E46)-(F46)</f>
        <v>24.479999999999997</v>
      </c>
      <c r="H46" s="4">
        <f>$N$44/$N$45*(E46-F46)</f>
        <v>-1.0800000000000034</v>
      </c>
      <c r="I46" s="4">
        <f>G45+H45</f>
        <v>27</v>
      </c>
      <c r="J46" s="4">
        <f>(D46-I46)/D46</f>
        <v>-0.125</v>
      </c>
      <c r="K46" s="4">
        <v>0.125</v>
      </c>
    </row>
    <row r="47" spans="2:14" x14ac:dyDescent="0.25">
      <c r="B47" s="2" t="s">
        <v>3</v>
      </c>
      <c r="C47" s="2">
        <v>2021</v>
      </c>
      <c r="D47" s="2">
        <v>22</v>
      </c>
      <c r="E47" s="4">
        <f t="shared" ref="E47:E80" si="6">($N$44)*D47+($N$45)*E46</f>
        <v>23.28</v>
      </c>
      <c r="F47" s="4">
        <f t="shared" ref="F47:F80" si="7">($N$44)*E47+($N$45)*F46</f>
        <v>24.336000000000002</v>
      </c>
      <c r="G47" s="4">
        <f t="shared" ref="G47:G55" si="8">2*(E47)-(F47)</f>
        <v>22.224</v>
      </c>
      <c r="H47" s="4">
        <f t="shared" ref="H47:H80" si="9">$N$44/$N$45*(E47-F47)</f>
        <v>-1.5840000000000012</v>
      </c>
      <c r="I47" s="4">
        <f>G46+H46</f>
        <v>23.399999999999995</v>
      </c>
      <c r="J47" s="4">
        <f>(D47-I47)/D47</f>
        <v>-6.3636363636363408E-2</v>
      </c>
      <c r="K47" s="4">
        <v>6.3636363636363394E-2</v>
      </c>
    </row>
    <row r="48" spans="2:14" x14ac:dyDescent="0.25">
      <c r="B48" s="2" t="s">
        <v>5</v>
      </c>
      <c r="C48" s="2">
        <v>2021</v>
      </c>
      <c r="D48" s="2">
        <v>19</v>
      </c>
      <c r="E48" s="4">
        <f t="shared" si="6"/>
        <v>20.712000000000003</v>
      </c>
      <c r="F48" s="4">
        <f t="shared" si="7"/>
        <v>22.1616</v>
      </c>
      <c r="G48" s="4">
        <f t="shared" si="8"/>
        <v>19.262400000000007</v>
      </c>
      <c r="H48" s="4">
        <f t="shared" si="9"/>
        <v>-2.1743999999999946</v>
      </c>
      <c r="I48" s="4">
        <f t="shared" ref="I48:I81" si="10">G47+H47</f>
        <v>20.64</v>
      </c>
      <c r="J48" s="4">
        <f t="shared" ref="J48:J80" si="11">(D48-I48)/D48</f>
        <v>-8.6315789473684235E-2</v>
      </c>
      <c r="K48" s="4">
        <v>8.6315789473684207E-2</v>
      </c>
    </row>
    <row r="49" spans="2:11" x14ac:dyDescent="0.25">
      <c r="B49" s="2" t="s">
        <v>6</v>
      </c>
      <c r="C49" s="2">
        <v>2021</v>
      </c>
      <c r="D49" s="2">
        <v>18</v>
      </c>
      <c r="E49" s="4">
        <f t="shared" si="6"/>
        <v>19.084800000000001</v>
      </c>
      <c r="F49" s="4">
        <f t="shared" si="7"/>
        <v>20.315519999999999</v>
      </c>
      <c r="G49" s="4">
        <f t="shared" si="8"/>
        <v>17.854080000000003</v>
      </c>
      <c r="H49" s="4">
        <f t="shared" si="9"/>
        <v>-1.8460799999999968</v>
      </c>
      <c r="I49" s="4">
        <f t="shared" si="10"/>
        <v>17.088000000000012</v>
      </c>
      <c r="J49" s="4">
        <f t="shared" si="11"/>
        <v>5.066666666666602E-2</v>
      </c>
      <c r="K49" s="4">
        <v>5.066666666666602E-2</v>
      </c>
    </row>
    <row r="50" spans="2:11" x14ac:dyDescent="0.25">
      <c r="B50" s="2" t="s">
        <v>7</v>
      </c>
      <c r="C50" s="2">
        <v>2021</v>
      </c>
      <c r="D50" s="2">
        <v>18</v>
      </c>
      <c r="E50" s="4">
        <f t="shared" si="6"/>
        <v>18.433920000000001</v>
      </c>
      <c r="F50" s="4">
        <f t="shared" si="7"/>
        <v>19.18656</v>
      </c>
      <c r="G50" s="4">
        <f t="shared" si="8"/>
        <v>17.681280000000001</v>
      </c>
      <c r="H50" s="4">
        <f t="shared" si="9"/>
        <v>-1.1289599999999991</v>
      </c>
      <c r="I50" s="4">
        <f t="shared" si="10"/>
        <v>16.008000000000006</v>
      </c>
      <c r="J50" s="4">
        <f t="shared" si="11"/>
        <v>0.11066666666666632</v>
      </c>
      <c r="K50" s="4">
        <v>0.11066666666666632</v>
      </c>
    </row>
    <row r="51" spans="2:11" x14ac:dyDescent="0.25">
      <c r="B51" s="2" t="s">
        <v>8</v>
      </c>
      <c r="C51" s="2">
        <v>2021</v>
      </c>
      <c r="D51" s="2">
        <v>15</v>
      </c>
      <c r="E51" s="4">
        <f t="shared" si="6"/>
        <v>16.373567999999999</v>
      </c>
      <c r="F51" s="4">
        <f t="shared" si="7"/>
        <v>17.4987648</v>
      </c>
      <c r="G51" s="4">
        <f t="shared" si="8"/>
        <v>15.248371199999998</v>
      </c>
      <c r="H51" s="4">
        <f t="shared" si="9"/>
        <v>-1.6877952000000016</v>
      </c>
      <c r="I51" s="4">
        <f t="shared" si="10"/>
        <v>16.552320000000002</v>
      </c>
      <c r="J51" s="4">
        <f t="shared" si="11"/>
        <v>-0.10348800000000011</v>
      </c>
      <c r="K51" s="4">
        <v>0.103488</v>
      </c>
    </row>
    <row r="52" spans="2:11" x14ac:dyDescent="0.25">
      <c r="B52" s="2" t="s">
        <v>9</v>
      </c>
      <c r="C52" s="2">
        <v>2022</v>
      </c>
      <c r="D52" s="2">
        <v>20</v>
      </c>
      <c r="E52" s="4">
        <f t="shared" si="6"/>
        <v>18.5494272</v>
      </c>
      <c r="F52" s="4">
        <f t="shared" si="7"/>
        <v>18.129162239999999</v>
      </c>
      <c r="G52" s="4">
        <f t="shared" si="8"/>
        <v>18.969692160000001</v>
      </c>
      <c r="H52" s="4">
        <f t="shared" si="9"/>
        <v>0.63039744000000109</v>
      </c>
      <c r="I52" s="4">
        <f t="shared" si="10"/>
        <v>13.560575999999996</v>
      </c>
      <c r="J52" s="4">
        <f t="shared" si="11"/>
        <v>0.32197120000000023</v>
      </c>
      <c r="K52" s="4">
        <v>0.32197120000000023</v>
      </c>
    </row>
    <row r="53" spans="2:11" x14ac:dyDescent="0.25">
      <c r="B53" s="2" t="s">
        <v>10</v>
      </c>
      <c r="C53" s="2">
        <v>2022</v>
      </c>
      <c r="D53" s="2">
        <v>22</v>
      </c>
      <c r="E53" s="4">
        <f t="shared" si="6"/>
        <v>20.619770880000001</v>
      </c>
      <c r="F53" s="4">
        <f t="shared" si="7"/>
        <v>19.623527423999999</v>
      </c>
      <c r="G53" s="4">
        <f t="shared" si="8"/>
        <v>21.616014336000003</v>
      </c>
      <c r="H53" s="4">
        <f t="shared" si="9"/>
        <v>1.4943651840000027</v>
      </c>
      <c r="I53" s="4">
        <f t="shared" si="10"/>
        <v>19.6000896</v>
      </c>
      <c r="J53" s="4">
        <f t="shared" si="11"/>
        <v>0.10908683636363635</v>
      </c>
      <c r="K53" s="4">
        <v>0.10908683636363635</v>
      </c>
    </row>
    <row r="54" spans="2:11" x14ac:dyDescent="0.25">
      <c r="B54" s="2" t="s">
        <v>11</v>
      </c>
      <c r="C54" s="2">
        <v>2022</v>
      </c>
      <c r="D54" s="2">
        <v>26</v>
      </c>
      <c r="E54" s="4">
        <f t="shared" si="6"/>
        <v>23.847908352000001</v>
      </c>
      <c r="F54" s="4">
        <f t="shared" si="7"/>
        <v>22.1581559808</v>
      </c>
      <c r="G54" s="4">
        <f t="shared" si="8"/>
        <v>25.537660723200002</v>
      </c>
      <c r="H54" s="4">
        <f t="shared" si="9"/>
        <v>2.5346285568000009</v>
      </c>
      <c r="I54" s="4">
        <f t="shared" si="10"/>
        <v>23.110379520000006</v>
      </c>
      <c r="J54" s="4">
        <f t="shared" si="11"/>
        <v>0.11113924923076901</v>
      </c>
      <c r="K54" s="4">
        <v>0.11113924923076901</v>
      </c>
    </row>
    <row r="55" spans="2:11" x14ac:dyDescent="0.25">
      <c r="B55" s="2" t="s">
        <v>12</v>
      </c>
      <c r="C55" s="2">
        <v>2022</v>
      </c>
      <c r="D55" s="2">
        <v>26</v>
      </c>
      <c r="E55" s="4">
        <f t="shared" si="6"/>
        <v>25.1391633408</v>
      </c>
      <c r="F55" s="4">
        <f t="shared" si="7"/>
        <v>23.946760396800002</v>
      </c>
      <c r="G55" s="4">
        <f t="shared" si="8"/>
        <v>26.331566284799997</v>
      </c>
      <c r="H55" s="4">
        <f t="shared" si="9"/>
        <v>1.7886044159999963</v>
      </c>
      <c r="I55" s="4">
        <f t="shared" si="10"/>
        <v>28.072289280000003</v>
      </c>
      <c r="J55" s="4">
        <f t="shared" si="11"/>
        <v>-7.970343384615397E-2</v>
      </c>
      <c r="K55" s="4">
        <v>7.9703433846153998E-2</v>
      </c>
    </row>
    <row r="56" spans="2:11" x14ac:dyDescent="0.25">
      <c r="B56" s="2" t="s">
        <v>13</v>
      </c>
      <c r="C56" s="2">
        <v>2022</v>
      </c>
      <c r="D56" s="2">
        <v>28</v>
      </c>
      <c r="E56" s="4">
        <f t="shared" si="6"/>
        <v>26.855665336320001</v>
      </c>
      <c r="F56" s="4">
        <f t="shared" si="7"/>
        <v>25.692103360512</v>
      </c>
      <c r="G56" s="4">
        <f>2*(E56)-(F56)</f>
        <v>28.019227312128002</v>
      </c>
      <c r="H56" s="4">
        <f t="shared" si="9"/>
        <v>1.7453429637120015</v>
      </c>
      <c r="I56" s="4">
        <f t="shared" si="10"/>
        <v>28.120170700799992</v>
      </c>
      <c r="J56" s="4">
        <f t="shared" si="11"/>
        <v>-4.291810742856862E-3</v>
      </c>
      <c r="K56" s="4">
        <v>4.2918107428568603E-3</v>
      </c>
    </row>
    <row r="57" spans="2:11" x14ac:dyDescent="0.25">
      <c r="B57" s="2" t="s">
        <v>2</v>
      </c>
      <c r="C57" s="2">
        <v>2022</v>
      </c>
      <c r="D57" s="11">
        <v>30</v>
      </c>
      <c r="E57" s="4">
        <f t="shared" si="6"/>
        <v>28.742266134528002</v>
      </c>
      <c r="F57" s="4">
        <f t="shared" si="7"/>
        <v>27.5222010249216</v>
      </c>
      <c r="G57" s="4">
        <f t="shared" ref="G57:G80" si="12">2*(E57)-(F57)</f>
        <v>29.962331244134404</v>
      </c>
      <c r="H57" s="4">
        <f t="shared" si="9"/>
        <v>1.830097664409603</v>
      </c>
      <c r="I57" s="4">
        <f t="shared" si="10"/>
        <v>29.764570275840004</v>
      </c>
      <c r="J57" s="4">
        <f t="shared" si="11"/>
        <v>7.847657471999862E-3</v>
      </c>
      <c r="K57" s="4">
        <v>7.847657471999862E-3</v>
      </c>
    </row>
    <row r="58" spans="2:11" x14ac:dyDescent="0.25">
      <c r="B58" s="2" t="s">
        <v>4</v>
      </c>
      <c r="C58" s="2">
        <v>2022</v>
      </c>
      <c r="D58" s="11">
        <v>33</v>
      </c>
      <c r="E58" s="4">
        <f t="shared" si="6"/>
        <v>31.296906453811204</v>
      </c>
      <c r="F58" s="4">
        <f t="shared" si="7"/>
        <v>29.787024282255363</v>
      </c>
      <c r="G58" s="4">
        <f t="shared" si="12"/>
        <v>32.806788625367048</v>
      </c>
      <c r="H58" s="4">
        <f t="shared" si="9"/>
        <v>2.2648232573337608</v>
      </c>
      <c r="I58" s="4">
        <f t="shared" si="10"/>
        <v>31.792428908544007</v>
      </c>
      <c r="J58" s="4">
        <f t="shared" si="11"/>
        <v>3.6593063377454327E-2</v>
      </c>
      <c r="K58" s="4">
        <v>3.6593063377454327E-2</v>
      </c>
    </row>
    <row r="59" spans="2:11" x14ac:dyDescent="0.25">
      <c r="B59" s="2" t="s">
        <v>3</v>
      </c>
      <c r="C59" s="2">
        <v>2022</v>
      </c>
      <c r="D59" s="11">
        <v>31</v>
      </c>
      <c r="E59" s="4">
        <f t="shared" si="6"/>
        <v>31.118762581524479</v>
      </c>
      <c r="F59" s="4">
        <f t="shared" si="7"/>
        <v>30.586067261816829</v>
      </c>
      <c r="G59" s="4">
        <f t="shared" si="12"/>
        <v>31.651457901232128</v>
      </c>
      <c r="H59" s="4">
        <f t="shared" si="9"/>
        <v>0.79904297956147363</v>
      </c>
      <c r="I59" s="4">
        <f t="shared" si="10"/>
        <v>35.071611882700807</v>
      </c>
      <c r="J59" s="4">
        <f t="shared" si="11"/>
        <v>-0.13134231879680025</v>
      </c>
      <c r="K59" s="4">
        <v>0.1313423187968</v>
      </c>
    </row>
    <row r="60" spans="2:11" x14ac:dyDescent="0.25">
      <c r="B60" s="2" t="s">
        <v>5</v>
      </c>
      <c r="C60" s="2">
        <v>2022</v>
      </c>
      <c r="D60" s="11">
        <v>30</v>
      </c>
      <c r="E60" s="4">
        <f t="shared" si="6"/>
        <v>30.44750503260979</v>
      </c>
      <c r="F60" s="4">
        <f t="shared" si="7"/>
        <v>30.502929924292605</v>
      </c>
      <c r="G60" s="4">
        <f t="shared" si="12"/>
        <v>30.392080140926975</v>
      </c>
      <c r="H60" s="4">
        <f t="shared" si="9"/>
        <v>-8.3137337524222574E-2</v>
      </c>
      <c r="I60" s="4">
        <f t="shared" si="10"/>
        <v>32.450500880793598</v>
      </c>
      <c r="J60" s="4">
        <f t="shared" si="11"/>
        <v>-8.1683362693119932E-2</v>
      </c>
      <c r="K60" s="4">
        <v>8.1683362693119904E-2</v>
      </c>
    </row>
    <row r="61" spans="2:11" x14ac:dyDescent="0.25">
      <c r="B61" s="2" t="s">
        <v>6</v>
      </c>
      <c r="C61" s="2">
        <v>2022</v>
      </c>
      <c r="D61" s="11">
        <v>29</v>
      </c>
      <c r="E61" s="4">
        <f t="shared" si="6"/>
        <v>29.579002013043915</v>
      </c>
      <c r="F61" s="4">
        <f t="shared" si="7"/>
        <v>29.948573177543395</v>
      </c>
      <c r="G61" s="4">
        <f t="shared" si="12"/>
        <v>29.209430848544436</v>
      </c>
      <c r="H61" s="4">
        <f t="shared" si="9"/>
        <v>-0.55435674674921909</v>
      </c>
      <c r="I61" s="4">
        <f t="shared" si="10"/>
        <v>30.308942803402754</v>
      </c>
      <c r="J61" s="4">
        <f t="shared" si="11"/>
        <v>-4.5135958738026005E-2</v>
      </c>
      <c r="K61" s="4">
        <v>4.5135958738025998E-2</v>
      </c>
    </row>
    <row r="62" spans="2:11" x14ac:dyDescent="0.25">
      <c r="B62" s="2" t="s">
        <v>7</v>
      </c>
      <c r="C62" s="2">
        <v>2022</v>
      </c>
      <c r="D62" s="11">
        <v>27</v>
      </c>
      <c r="E62" s="4">
        <f t="shared" si="6"/>
        <v>28.031600805217565</v>
      </c>
      <c r="F62" s="4">
        <f t="shared" si="7"/>
        <v>28.798389754147898</v>
      </c>
      <c r="G62" s="4">
        <f t="shared" si="12"/>
        <v>27.264811856287231</v>
      </c>
      <c r="H62" s="4">
        <f t="shared" si="9"/>
        <v>-1.1501834233954999</v>
      </c>
      <c r="I62" s="4">
        <f t="shared" si="10"/>
        <v>28.655074101795218</v>
      </c>
      <c r="J62" s="4">
        <f t="shared" si="11"/>
        <v>-6.1299040807230309E-2</v>
      </c>
      <c r="K62" s="4">
        <v>6.1299040807230303E-2</v>
      </c>
    </row>
    <row r="63" spans="2:11" x14ac:dyDescent="0.25">
      <c r="B63" s="2" t="s">
        <v>8</v>
      </c>
      <c r="C63" s="2">
        <v>2022</v>
      </c>
      <c r="D63" s="11">
        <v>26</v>
      </c>
      <c r="E63" s="4">
        <f t="shared" si="6"/>
        <v>26.812640322087027</v>
      </c>
      <c r="F63" s="4">
        <f t="shared" si="7"/>
        <v>27.606940094911376</v>
      </c>
      <c r="G63" s="4">
        <f t="shared" si="12"/>
        <v>26.018340549262678</v>
      </c>
      <c r="H63" s="4">
        <f t="shared" si="9"/>
        <v>-1.1914496592365234</v>
      </c>
      <c r="I63" s="4">
        <f t="shared" si="10"/>
        <v>26.114628432891731</v>
      </c>
      <c r="J63" s="4">
        <f t="shared" si="11"/>
        <v>-4.4087858804511956E-3</v>
      </c>
      <c r="K63" s="4">
        <v>4.4087858804511999E-3</v>
      </c>
    </row>
    <row r="64" spans="2:11" x14ac:dyDescent="0.25">
      <c r="B64" s="2" t="s">
        <v>9</v>
      </c>
      <c r="C64" s="11">
        <v>2023</v>
      </c>
      <c r="D64" s="11">
        <v>28</v>
      </c>
      <c r="E64" s="4">
        <f t="shared" si="6"/>
        <v>27.525056128834812</v>
      </c>
      <c r="F64" s="4">
        <f t="shared" si="7"/>
        <v>27.557809715265439</v>
      </c>
      <c r="G64" s="4">
        <f t="shared" si="12"/>
        <v>27.492302542404186</v>
      </c>
      <c r="H64" s="4">
        <f t="shared" si="9"/>
        <v>-4.9130379645939463E-2</v>
      </c>
      <c r="I64" s="4">
        <f t="shared" si="10"/>
        <v>24.826890890026156</v>
      </c>
      <c r="J64" s="4">
        <f t="shared" si="11"/>
        <v>0.11332532535620869</v>
      </c>
      <c r="K64" s="4">
        <v>0.11332532535620869</v>
      </c>
    </row>
    <row r="65" spans="2:11" x14ac:dyDescent="0.25">
      <c r="B65" s="2" t="s">
        <v>10</v>
      </c>
      <c r="C65" s="11">
        <v>2023</v>
      </c>
      <c r="D65" s="11">
        <v>28</v>
      </c>
      <c r="E65" s="4">
        <f t="shared" si="6"/>
        <v>27.810022451533925</v>
      </c>
      <c r="F65" s="4">
        <f t="shared" si="7"/>
        <v>27.709137357026531</v>
      </c>
      <c r="G65" s="4">
        <f t="shared" si="12"/>
        <v>27.910907546041319</v>
      </c>
      <c r="H65" s="4">
        <f t="shared" si="9"/>
        <v>0.15132764176109068</v>
      </c>
      <c r="I65" s="4">
        <f t="shared" si="10"/>
        <v>27.443172162758248</v>
      </c>
      <c r="J65" s="4">
        <f t="shared" si="11"/>
        <v>1.9886708472919703E-2</v>
      </c>
      <c r="K65" s="4">
        <v>1.9886708472919703E-2</v>
      </c>
    </row>
    <row r="66" spans="2:11" x14ac:dyDescent="0.25">
      <c r="B66" s="2" t="s">
        <v>11</v>
      </c>
      <c r="C66" s="11">
        <v>2023</v>
      </c>
      <c r="D66" s="11">
        <v>29</v>
      </c>
      <c r="E66" s="4">
        <f t="shared" si="6"/>
        <v>28.524008980613569</v>
      </c>
      <c r="F66" s="4">
        <f t="shared" si="7"/>
        <v>28.198060331178752</v>
      </c>
      <c r="G66" s="4">
        <f t="shared" si="12"/>
        <v>28.849957630048387</v>
      </c>
      <c r="H66" s="4">
        <f t="shared" si="9"/>
        <v>0.48892297415222602</v>
      </c>
      <c r="I66" s="4">
        <f t="shared" si="10"/>
        <v>28.062235187802408</v>
      </c>
      <c r="J66" s="4">
        <f t="shared" si="11"/>
        <v>3.2336717661985939E-2</v>
      </c>
      <c r="K66" s="4">
        <v>3.2336717661985939E-2</v>
      </c>
    </row>
    <row r="67" spans="2:11" x14ac:dyDescent="0.25">
      <c r="B67" s="2" t="s">
        <v>12</v>
      </c>
      <c r="C67" s="11">
        <v>2023</v>
      </c>
      <c r="D67" s="11">
        <v>29</v>
      </c>
      <c r="E67" s="4">
        <f t="shared" si="6"/>
        <v>28.809603592245427</v>
      </c>
      <c r="F67" s="4">
        <f t="shared" si="7"/>
        <v>28.564986287818758</v>
      </c>
      <c r="G67" s="4">
        <f t="shared" si="12"/>
        <v>29.054220896672096</v>
      </c>
      <c r="H67" s="4">
        <f t="shared" si="9"/>
        <v>0.36692595664000288</v>
      </c>
      <c r="I67" s="4">
        <f t="shared" si="10"/>
        <v>29.338880604200611</v>
      </c>
      <c r="J67" s="4">
        <f t="shared" si="11"/>
        <v>-1.1685538075883135E-2</v>
      </c>
      <c r="K67" s="4">
        <v>1.1685538075883101E-2</v>
      </c>
    </row>
    <row r="68" spans="2:11" x14ac:dyDescent="0.25">
      <c r="B68" s="2" t="s">
        <v>13</v>
      </c>
      <c r="C68" s="11">
        <v>2023</v>
      </c>
      <c r="D68" s="11">
        <v>30</v>
      </c>
      <c r="E68" s="4">
        <f t="shared" si="6"/>
        <v>29.523841436898174</v>
      </c>
      <c r="F68" s="4">
        <f t="shared" si="7"/>
        <v>29.140299377266409</v>
      </c>
      <c r="G68" s="4">
        <f t="shared" si="12"/>
        <v>29.907383496529938</v>
      </c>
      <c r="H68" s="4">
        <f t="shared" si="9"/>
        <v>0.57531308944764692</v>
      </c>
      <c r="I68" s="4">
        <f t="shared" si="10"/>
        <v>29.421146853312099</v>
      </c>
      <c r="J68" s="4">
        <f t="shared" si="11"/>
        <v>1.9295104889596716E-2</v>
      </c>
      <c r="K68" s="4">
        <v>1.9295104889596716E-2</v>
      </c>
    </row>
    <row r="69" spans="2:11" x14ac:dyDescent="0.25">
      <c r="B69" s="2" t="s">
        <v>2</v>
      </c>
      <c r="C69" s="11">
        <v>2023</v>
      </c>
      <c r="D69" s="11">
        <v>30</v>
      </c>
      <c r="E69" s="4">
        <f t="shared" si="6"/>
        <v>29.809536574759271</v>
      </c>
      <c r="F69" s="4">
        <f t="shared" si="7"/>
        <v>29.541841695762123</v>
      </c>
      <c r="G69" s="4">
        <f t="shared" si="12"/>
        <v>30.077231453756418</v>
      </c>
      <c r="H69" s="4">
        <f t="shared" si="9"/>
        <v>0.40154231849572136</v>
      </c>
      <c r="I69" s="4">
        <f t="shared" si="10"/>
        <v>30.482696585977585</v>
      </c>
      <c r="J69" s="4">
        <f t="shared" si="11"/>
        <v>-1.6089886199252845E-2</v>
      </c>
      <c r="K69" s="4">
        <v>1.6089886199252799E-2</v>
      </c>
    </row>
    <row r="70" spans="2:11" x14ac:dyDescent="0.25">
      <c r="B70" s="2" t="s">
        <v>4</v>
      </c>
      <c r="C70" s="11">
        <v>2023</v>
      </c>
      <c r="D70" s="11">
        <v>28</v>
      </c>
      <c r="E70" s="4">
        <f t="shared" si="6"/>
        <v>28.72381462990371</v>
      </c>
      <c r="F70" s="4">
        <f t="shared" si="7"/>
        <v>29.051025456247075</v>
      </c>
      <c r="G70" s="4">
        <f t="shared" si="12"/>
        <v>28.396603803560346</v>
      </c>
      <c r="H70" s="4">
        <f t="shared" si="9"/>
        <v>-0.49081623951504655</v>
      </c>
      <c r="I70" s="4">
        <f t="shared" si="10"/>
        <v>30.47877377225214</v>
      </c>
      <c r="J70" s="4">
        <f t="shared" si="11"/>
        <v>-8.8527634723290713E-2</v>
      </c>
      <c r="K70" s="4">
        <v>8.8527634723290699E-2</v>
      </c>
    </row>
    <row r="71" spans="2:11" x14ac:dyDescent="0.25">
      <c r="B71" s="2" t="s">
        <v>3</v>
      </c>
      <c r="C71" s="11">
        <v>2023</v>
      </c>
      <c r="D71" s="11">
        <v>26</v>
      </c>
      <c r="E71" s="4">
        <f t="shared" si="6"/>
        <v>27.089525851961483</v>
      </c>
      <c r="F71" s="4">
        <f t="shared" si="7"/>
        <v>27.874125693675719</v>
      </c>
      <c r="G71" s="4">
        <f t="shared" si="12"/>
        <v>26.304926010247247</v>
      </c>
      <c r="H71" s="4">
        <f t="shared" si="9"/>
        <v>-1.176899762571354</v>
      </c>
      <c r="I71" s="4">
        <f t="shared" si="10"/>
        <v>27.905787564045301</v>
      </c>
      <c r="J71" s="4">
        <f t="shared" si="11"/>
        <v>-7.3299521694050046E-2</v>
      </c>
      <c r="K71" s="4">
        <v>7.3299521694050004E-2</v>
      </c>
    </row>
    <row r="72" spans="2:11" x14ac:dyDescent="0.25">
      <c r="B72" s="2" t="s">
        <v>5</v>
      </c>
      <c r="C72" s="11">
        <v>2023</v>
      </c>
      <c r="D72" s="11">
        <v>24</v>
      </c>
      <c r="E72" s="4">
        <f t="shared" si="6"/>
        <v>25.235810340784592</v>
      </c>
      <c r="F72" s="4">
        <f t="shared" si="7"/>
        <v>26.291136481941045</v>
      </c>
      <c r="G72" s="4">
        <f t="shared" si="12"/>
        <v>24.18048419962814</v>
      </c>
      <c r="H72" s="4">
        <f t="shared" si="9"/>
        <v>-1.5829892117346789</v>
      </c>
      <c r="I72" s="4">
        <f t="shared" si="10"/>
        <v>25.128026247675894</v>
      </c>
      <c r="J72" s="4">
        <f t="shared" si="11"/>
        <v>-4.7001093653162261E-2</v>
      </c>
      <c r="K72" s="4">
        <v>4.7001093653162303E-2</v>
      </c>
    </row>
    <row r="73" spans="2:11" x14ac:dyDescent="0.25">
      <c r="B73" s="2" t="s">
        <v>6</v>
      </c>
      <c r="C73" s="11">
        <v>2023</v>
      </c>
      <c r="D73" s="11">
        <v>20</v>
      </c>
      <c r="E73" s="4">
        <f t="shared" si="6"/>
        <v>22.094324136313837</v>
      </c>
      <c r="F73" s="4">
        <f t="shared" si="7"/>
        <v>23.773049074564721</v>
      </c>
      <c r="G73" s="4">
        <f t="shared" si="12"/>
        <v>20.415599198062953</v>
      </c>
      <c r="H73" s="4">
        <f t="shared" si="9"/>
        <v>-2.5180874073763255</v>
      </c>
      <c r="I73" s="4">
        <f t="shared" si="10"/>
        <v>22.597494987893462</v>
      </c>
      <c r="J73" s="4">
        <f t="shared" si="11"/>
        <v>-0.12987474939467311</v>
      </c>
      <c r="K73" s="4">
        <v>0.129874749394673</v>
      </c>
    </row>
    <row r="74" spans="2:11" x14ac:dyDescent="0.25">
      <c r="B74" s="2" t="s">
        <v>7</v>
      </c>
      <c r="C74" s="11">
        <v>2024</v>
      </c>
      <c r="D74" s="11">
        <v>22</v>
      </c>
      <c r="E74" s="4">
        <f t="shared" si="6"/>
        <v>22.037729654525535</v>
      </c>
      <c r="F74" s="4">
        <f t="shared" si="7"/>
        <v>22.731857422541211</v>
      </c>
      <c r="G74" s="4">
        <f t="shared" si="12"/>
        <v>21.343601886509859</v>
      </c>
      <c r="H74" s="4">
        <f t="shared" si="9"/>
        <v>-1.0411916520235136</v>
      </c>
      <c r="I74" s="4">
        <f t="shared" si="10"/>
        <v>17.897511790686629</v>
      </c>
      <c r="J74" s="4">
        <f t="shared" si="11"/>
        <v>0.18647673678697141</v>
      </c>
      <c r="K74" s="4">
        <v>0.18647673678697141</v>
      </c>
    </row>
    <row r="75" spans="2:11" x14ac:dyDescent="0.25">
      <c r="B75" s="2" t="s">
        <v>8</v>
      </c>
      <c r="C75" s="11">
        <v>2024</v>
      </c>
      <c r="D75" s="11">
        <v>19</v>
      </c>
      <c r="E75" s="4">
        <f t="shared" si="6"/>
        <v>20.215091861810215</v>
      </c>
      <c r="F75" s="4">
        <f t="shared" si="7"/>
        <v>21.221798086102613</v>
      </c>
      <c r="G75" s="4">
        <f t="shared" si="12"/>
        <v>19.208385637517818</v>
      </c>
      <c r="H75" s="4">
        <f t="shared" si="9"/>
        <v>-1.5100593364385959</v>
      </c>
      <c r="I75" s="4">
        <f t="shared" si="10"/>
        <v>20.302410234486345</v>
      </c>
      <c r="J75" s="4">
        <f t="shared" si="11"/>
        <v>-6.8547907078228693E-2</v>
      </c>
      <c r="K75" s="4">
        <v>6.8547907078228706E-2</v>
      </c>
    </row>
    <row r="76" spans="2:11" x14ac:dyDescent="0.25">
      <c r="B76" s="2" t="s">
        <v>9</v>
      </c>
      <c r="C76" s="11">
        <v>2024</v>
      </c>
      <c r="D76" s="11">
        <v>31</v>
      </c>
      <c r="E76" s="4">
        <f t="shared" si="6"/>
        <v>26.686036744724085</v>
      </c>
      <c r="F76" s="4">
        <f t="shared" si="7"/>
        <v>24.500341281275496</v>
      </c>
      <c r="G76" s="4">
        <f t="shared" si="12"/>
        <v>28.871732208172673</v>
      </c>
      <c r="H76" s="4">
        <f t="shared" si="9"/>
        <v>3.2785431951728827</v>
      </c>
      <c r="I76" s="4">
        <f t="shared" si="10"/>
        <v>17.698326301079224</v>
      </c>
      <c r="J76" s="4">
        <f t="shared" si="11"/>
        <v>0.4290862483522831</v>
      </c>
      <c r="K76" s="4">
        <v>0.4290862483522831</v>
      </c>
    </row>
    <row r="77" spans="2:11" x14ac:dyDescent="0.25">
      <c r="B77" s="2" t="s">
        <v>10</v>
      </c>
      <c r="C77" s="11">
        <v>2024</v>
      </c>
      <c r="D77" s="11">
        <v>34</v>
      </c>
      <c r="E77" s="4">
        <f t="shared" si="6"/>
        <v>31.074414697889633</v>
      </c>
      <c r="F77" s="4">
        <f t="shared" si="7"/>
        <v>28.444785331243978</v>
      </c>
      <c r="G77" s="4">
        <f t="shared" si="12"/>
        <v>33.704044064535289</v>
      </c>
      <c r="H77" s="4">
        <f t="shared" si="9"/>
        <v>3.944444049968483</v>
      </c>
      <c r="I77" s="4">
        <f t="shared" si="10"/>
        <v>32.150275403345553</v>
      </c>
      <c r="J77" s="4">
        <f t="shared" si="11"/>
        <v>5.4403664607483734E-2</v>
      </c>
      <c r="K77" s="4">
        <v>5.4403664607483734E-2</v>
      </c>
    </row>
    <row r="78" spans="2:11" x14ac:dyDescent="0.25">
      <c r="B78" s="2" t="s">
        <v>11</v>
      </c>
      <c r="C78" s="11">
        <v>2024</v>
      </c>
      <c r="D78" s="11">
        <v>36</v>
      </c>
      <c r="E78" s="4">
        <f t="shared" si="6"/>
        <v>34.029765879155853</v>
      </c>
      <c r="F78" s="4">
        <f t="shared" si="7"/>
        <v>31.795773659991106</v>
      </c>
      <c r="G78" s="4">
        <f t="shared" si="12"/>
        <v>36.263758098320601</v>
      </c>
      <c r="H78" s="4">
        <f t="shared" si="9"/>
        <v>3.3509883287471207</v>
      </c>
      <c r="I78" s="4">
        <f t="shared" si="10"/>
        <v>37.64848811450377</v>
      </c>
      <c r="J78" s="4">
        <f t="shared" si="11"/>
        <v>-4.579133651399362E-2</v>
      </c>
      <c r="K78" s="4">
        <v>4.57913365139936E-2</v>
      </c>
    </row>
    <row r="79" spans="2:11" x14ac:dyDescent="0.25">
      <c r="B79" s="2" t="s">
        <v>12</v>
      </c>
      <c r="C79" s="11">
        <v>2024</v>
      </c>
      <c r="D79" s="11">
        <v>38</v>
      </c>
      <c r="E79" s="4">
        <f t="shared" si="6"/>
        <v>36.411906351662338</v>
      </c>
      <c r="F79" s="4">
        <f t="shared" si="7"/>
        <v>34.565453274993843</v>
      </c>
      <c r="G79" s="4">
        <f t="shared" si="12"/>
        <v>38.258359428330834</v>
      </c>
      <c r="H79" s="4">
        <f t="shared" si="9"/>
        <v>2.7696796150027434</v>
      </c>
      <c r="I79" s="4">
        <f t="shared" si="10"/>
        <v>39.614746427067722</v>
      </c>
      <c r="J79" s="4">
        <f t="shared" si="11"/>
        <v>-4.2493327028097945E-2</v>
      </c>
      <c r="K79" s="4">
        <v>4.2493327028097903E-2</v>
      </c>
    </row>
    <row r="80" spans="2:11" x14ac:dyDescent="0.25">
      <c r="B80" s="2" t="s">
        <v>13</v>
      </c>
      <c r="C80" s="12">
        <v>2024</v>
      </c>
      <c r="D80" s="12">
        <v>40</v>
      </c>
      <c r="E80" s="4">
        <f t="shared" si="6"/>
        <v>38.564762540664937</v>
      </c>
      <c r="F80" s="4">
        <f t="shared" si="7"/>
        <v>36.965038834396495</v>
      </c>
      <c r="G80" s="4">
        <f t="shared" si="12"/>
        <v>40.164486246933379</v>
      </c>
      <c r="H80" s="4">
        <f t="shared" si="9"/>
        <v>2.3995855594026625</v>
      </c>
      <c r="I80" s="4">
        <f t="shared" si="10"/>
        <v>41.028039043333578</v>
      </c>
      <c r="J80" s="4">
        <f t="shared" si="11"/>
        <v>-2.5700976083339454E-2</v>
      </c>
      <c r="K80" s="4">
        <v>2.5700976083339499E-2</v>
      </c>
    </row>
    <row r="81" spans="2:14" x14ac:dyDescent="0.25">
      <c r="B81" s="8" t="s">
        <v>2</v>
      </c>
      <c r="C81" s="13">
        <v>2024</v>
      </c>
      <c r="D81" s="8"/>
      <c r="E81" s="10"/>
      <c r="F81" s="10"/>
      <c r="G81" s="10"/>
      <c r="H81" s="10"/>
      <c r="I81" s="9">
        <f t="shared" si="10"/>
        <v>42.564071806336038</v>
      </c>
      <c r="J81" s="14" t="s">
        <v>21</v>
      </c>
      <c r="K81" s="10">
        <f>100/36*SUM(K46:K80)</f>
        <v>8.1613852248980514</v>
      </c>
    </row>
    <row r="86" spans="2:14" x14ac:dyDescent="0.25">
      <c r="B86" s="3" t="s">
        <v>0</v>
      </c>
      <c r="C86" s="3" t="s">
        <v>1</v>
      </c>
      <c r="D86" s="3" t="s">
        <v>22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 t="s">
        <v>19</v>
      </c>
      <c r="K86" s="3" t="s">
        <v>20</v>
      </c>
      <c r="N86" s="7">
        <v>0.5</v>
      </c>
    </row>
    <row r="87" spans="2:14" x14ac:dyDescent="0.25">
      <c r="B87" s="2" t="s">
        <v>2</v>
      </c>
      <c r="C87" s="2">
        <v>2021</v>
      </c>
      <c r="D87" s="2">
        <v>27</v>
      </c>
      <c r="E87" s="2">
        <v>27</v>
      </c>
      <c r="F87" s="2">
        <v>27</v>
      </c>
      <c r="G87" s="2">
        <v>27</v>
      </c>
      <c r="H87" s="2">
        <v>0</v>
      </c>
      <c r="I87" s="5"/>
      <c r="J87" s="5"/>
      <c r="K87" s="5"/>
      <c r="N87" s="7">
        <v>0.5</v>
      </c>
    </row>
    <row r="88" spans="2:14" x14ac:dyDescent="0.25">
      <c r="B88" s="2" t="s">
        <v>4</v>
      </c>
      <c r="C88" s="2">
        <v>2021</v>
      </c>
      <c r="D88" s="2">
        <v>24</v>
      </c>
      <c r="E88" s="4">
        <f>($N$86)*D88+($N$87)*E87</f>
        <v>25.5</v>
      </c>
      <c r="F88" s="4">
        <f>($N$86)*E88+($N$87)*F87</f>
        <v>26.25</v>
      </c>
      <c r="G88" s="4">
        <f>2*(E88)-(F88)</f>
        <v>24.75</v>
      </c>
      <c r="H88" s="4">
        <f>$N$86/$N$87*(E88-F88)</f>
        <v>-0.75</v>
      </c>
      <c r="I88" s="4">
        <f>G87+H87</f>
        <v>27</v>
      </c>
      <c r="J88" s="4">
        <f>(D88-I88)/D88</f>
        <v>-0.125</v>
      </c>
      <c r="K88" s="4">
        <v>0.125</v>
      </c>
    </row>
    <row r="89" spans="2:14" x14ac:dyDescent="0.25">
      <c r="B89" s="2" t="s">
        <v>3</v>
      </c>
      <c r="C89" s="2">
        <v>2021</v>
      </c>
      <c r="D89" s="2">
        <v>22</v>
      </c>
      <c r="E89" s="4">
        <f t="shared" ref="E89:E122" si="13">($N$86)*D89+($N$87)*E88</f>
        <v>23.75</v>
      </c>
      <c r="F89" s="4">
        <f t="shared" ref="F89:F122" si="14">($N$86)*E89+($N$87)*F88</f>
        <v>25</v>
      </c>
      <c r="G89" s="4">
        <f t="shared" ref="G89:G97" si="15">2*(E89)-(F89)</f>
        <v>22.5</v>
      </c>
      <c r="H89" s="4">
        <f t="shared" ref="H89:H122" si="16">$N$86/$N$87*(E89-F89)</f>
        <v>-1.25</v>
      </c>
      <c r="I89" s="4">
        <f>G88+H88</f>
        <v>24</v>
      </c>
      <c r="J89" s="4">
        <f>(D89-I89)/D89</f>
        <v>-9.0909090909090912E-2</v>
      </c>
      <c r="K89" s="4">
        <v>9.0909090909090898E-2</v>
      </c>
    </row>
    <row r="90" spans="2:14" x14ac:dyDescent="0.25">
      <c r="B90" s="2" t="s">
        <v>5</v>
      </c>
      <c r="C90" s="2">
        <v>2021</v>
      </c>
      <c r="D90" s="2">
        <v>19</v>
      </c>
      <c r="E90" s="4">
        <f t="shared" si="13"/>
        <v>21.375</v>
      </c>
      <c r="F90" s="4">
        <f t="shared" si="14"/>
        <v>23.1875</v>
      </c>
      <c r="G90" s="4">
        <f t="shared" si="15"/>
        <v>19.5625</v>
      </c>
      <c r="H90" s="4">
        <f t="shared" si="16"/>
        <v>-1.8125</v>
      </c>
      <c r="I90" s="4">
        <f t="shared" ref="I90:I123" si="17">G89+H89</f>
        <v>21.25</v>
      </c>
      <c r="J90" s="4">
        <f t="shared" ref="J90:J122" si="18">(D90-I90)/D90</f>
        <v>-0.11842105263157894</v>
      </c>
      <c r="K90" s="4">
        <v>0.118421052631579</v>
      </c>
    </row>
    <row r="91" spans="2:14" x14ac:dyDescent="0.25">
      <c r="B91" s="2" t="s">
        <v>6</v>
      </c>
      <c r="C91" s="2">
        <v>2021</v>
      </c>
      <c r="D91" s="2">
        <v>18</v>
      </c>
      <c r="E91" s="4">
        <f t="shared" si="13"/>
        <v>19.6875</v>
      </c>
      <c r="F91" s="4">
        <f t="shared" si="14"/>
        <v>21.4375</v>
      </c>
      <c r="G91" s="4">
        <f t="shared" si="15"/>
        <v>17.9375</v>
      </c>
      <c r="H91" s="4">
        <f t="shared" si="16"/>
        <v>-1.75</v>
      </c>
      <c r="I91" s="4">
        <f t="shared" si="17"/>
        <v>17.75</v>
      </c>
      <c r="J91" s="4">
        <f t="shared" si="18"/>
        <v>1.3888888888888888E-2</v>
      </c>
      <c r="K91" s="4">
        <v>1.3888888888888888E-2</v>
      </c>
    </row>
    <row r="92" spans="2:14" x14ac:dyDescent="0.25">
      <c r="B92" s="2" t="s">
        <v>7</v>
      </c>
      <c r="C92" s="2">
        <v>2021</v>
      </c>
      <c r="D92" s="2">
        <v>18</v>
      </c>
      <c r="E92" s="4">
        <f t="shared" si="13"/>
        <v>18.84375</v>
      </c>
      <c r="F92" s="4">
        <f t="shared" si="14"/>
        <v>20.140625</v>
      </c>
      <c r="G92" s="4">
        <f t="shared" si="15"/>
        <v>17.546875</v>
      </c>
      <c r="H92" s="4">
        <f t="shared" si="16"/>
        <v>-1.296875</v>
      </c>
      <c r="I92" s="4">
        <f t="shared" si="17"/>
        <v>16.1875</v>
      </c>
      <c r="J92" s="4">
        <f t="shared" si="18"/>
        <v>0.10069444444444445</v>
      </c>
      <c r="K92" s="4">
        <v>0.10069444444444445</v>
      </c>
    </row>
    <row r="93" spans="2:14" x14ac:dyDescent="0.25">
      <c r="B93" s="2" t="s">
        <v>8</v>
      </c>
      <c r="C93" s="2">
        <v>2021</v>
      </c>
      <c r="D93" s="2">
        <v>15</v>
      </c>
      <c r="E93" s="4">
        <f t="shared" si="13"/>
        <v>16.921875</v>
      </c>
      <c r="F93" s="4">
        <f t="shared" si="14"/>
        <v>18.53125</v>
      </c>
      <c r="G93" s="4">
        <f t="shared" si="15"/>
        <v>15.3125</v>
      </c>
      <c r="H93" s="4">
        <f t="shared" si="16"/>
        <v>-1.609375</v>
      </c>
      <c r="I93" s="4">
        <f t="shared" si="17"/>
        <v>16.25</v>
      </c>
      <c r="J93" s="4">
        <f t="shared" si="18"/>
        <v>-8.3333333333333329E-2</v>
      </c>
      <c r="K93" s="4">
        <v>8.3333333333333301E-2</v>
      </c>
    </row>
    <row r="94" spans="2:14" x14ac:dyDescent="0.25">
      <c r="B94" s="2" t="s">
        <v>9</v>
      </c>
      <c r="C94" s="2">
        <v>2022</v>
      </c>
      <c r="D94" s="2">
        <v>20</v>
      </c>
      <c r="E94" s="4">
        <f t="shared" si="13"/>
        <v>18.4609375</v>
      </c>
      <c r="F94" s="4">
        <f t="shared" si="14"/>
        <v>18.49609375</v>
      </c>
      <c r="G94" s="4">
        <f t="shared" si="15"/>
        <v>18.42578125</v>
      </c>
      <c r="H94" s="4">
        <f t="shared" si="16"/>
        <v>-3.515625E-2</v>
      </c>
      <c r="I94" s="4">
        <f t="shared" si="17"/>
        <v>13.703125</v>
      </c>
      <c r="J94" s="4">
        <f t="shared" si="18"/>
        <v>0.31484374999999998</v>
      </c>
      <c r="K94" s="4">
        <v>0.31484374999999998</v>
      </c>
    </row>
    <row r="95" spans="2:14" x14ac:dyDescent="0.25">
      <c r="B95" s="2" t="s">
        <v>10</v>
      </c>
      <c r="C95" s="2">
        <v>2022</v>
      </c>
      <c r="D95" s="2">
        <v>22</v>
      </c>
      <c r="E95" s="4">
        <f t="shared" si="13"/>
        <v>20.23046875</v>
      </c>
      <c r="F95" s="4">
        <f t="shared" si="14"/>
        <v>19.36328125</v>
      </c>
      <c r="G95" s="4">
        <f t="shared" si="15"/>
        <v>21.09765625</v>
      </c>
      <c r="H95" s="4">
        <f t="shared" si="16"/>
        <v>0.8671875</v>
      </c>
      <c r="I95" s="4">
        <f t="shared" si="17"/>
        <v>18.390625</v>
      </c>
      <c r="J95" s="4">
        <f t="shared" si="18"/>
        <v>0.1640625</v>
      </c>
      <c r="K95" s="4">
        <v>0.1640625</v>
      </c>
    </row>
    <row r="96" spans="2:14" x14ac:dyDescent="0.25">
      <c r="B96" s="2" t="s">
        <v>11</v>
      </c>
      <c r="C96" s="2">
        <v>2022</v>
      </c>
      <c r="D96" s="2">
        <v>26</v>
      </c>
      <c r="E96" s="4">
        <f t="shared" si="13"/>
        <v>23.115234375</v>
      </c>
      <c r="F96" s="4">
        <f t="shared" si="14"/>
        <v>21.2392578125</v>
      </c>
      <c r="G96" s="4">
        <f t="shared" si="15"/>
        <v>24.9912109375</v>
      </c>
      <c r="H96" s="4">
        <f t="shared" si="16"/>
        <v>1.8759765625</v>
      </c>
      <c r="I96" s="4">
        <f t="shared" si="17"/>
        <v>21.96484375</v>
      </c>
      <c r="J96" s="4">
        <f t="shared" si="18"/>
        <v>0.15519831730769232</v>
      </c>
      <c r="K96" s="4">
        <v>0.15519831730769232</v>
      </c>
    </row>
    <row r="97" spans="2:11" x14ac:dyDescent="0.25">
      <c r="B97" s="2" t="s">
        <v>12</v>
      </c>
      <c r="C97" s="2">
        <v>2022</v>
      </c>
      <c r="D97" s="2">
        <v>26</v>
      </c>
      <c r="E97" s="4">
        <f t="shared" si="13"/>
        <v>24.5576171875</v>
      </c>
      <c r="F97" s="4">
        <f t="shared" si="14"/>
        <v>22.8984375</v>
      </c>
      <c r="G97" s="4">
        <f t="shared" si="15"/>
        <v>26.216796875</v>
      </c>
      <c r="H97" s="4">
        <f t="shared" si="16"/>
        <v>1.6591796875</v>
      </c>
      <c r="I97" s="4">
        <f t="shared" si="17"/>
        <v>26.8671875</v>
      </c>
      <c r="J97" s="4">
        <f t="shared" si="18"/>
        <v>-3.3353365384615384E-2</v>
      </c>
      <c r="K97" s="4">
        <v>3.3353365384615398E-2</v>
      </c>
    </row>
    <row r="98" spans="2:11" x14ac:dyDescent="0.25">
      <c r="B98" s="2" t="s">
        <v>13</v>
      </c>
      <c r="C98" s="2">
        <v>2022</v>
      </c>
      <c r="D98" s="2">
        <v>28</v>
      </c>
      <c r="E98" s="4">
        <f t="shared" si="13"/>
        <v>26.27880859375</v>
      </c>
      <c r="F98" s="4">
        <f t="shared" si="14"/>
        <v>24.588623046875</v>
      </c>
      <c r="G98" s="4">
        <f>2*(E98)-(F98)</f>
        <v>27.968994140625</v>
      </c>
      <c r="H98" s="4">
        <f t="shared" si="16"/>
        <v>1.690185546875</v>
      </c>
      <c r="I98" s="4">
        <f t="shared" si="17"/>
        <v>27.8759765625</v>
      </c>
      <c r="J98" s="4">
        <f t="shared" si="18"/>
        <v>4.429408482142857E-3</v>
      </c>
      <c r="K98" s="4">
        <v>4.429408482142857E-3</v>
      </c>
    </row>
    <row r="99" spans="2:11" x14ac:dyDescent="0.25">
      <c r="B99" s="2" t="s">
        <v>2</v>
      </c>
      <c r="C99" s="2">
        <v>2022</v>
      </c>
      <c r="D99" s="11">
        <v>30</v>
      </c>
      <c r="E99" s="4">
        <f t="shared" si="13"/>
        <v>28.139404296875</v>
      </c>
      <c r="F99" s="4">
        <f t="shared" si="14"/>
        <v>26.364013671875</v>
      </c>
      <c r="G99" s="4">
        <f t="shared" ref="G99:G122" si="19">2*(E99)-(F99)</f>
        <v>29.914794921875</v>
      </c>
      <c r="H99" s="4">
        <f t="shared" si="16"/>
        <v>1.775390625</v>
      </c>
      <c r="I99" s="4">
        <f t="shared" si="17"/>
        <v>29.6591796875</v>
      </c>
      <c r="J99" s="4">
        <f t="shared" si="18"/>
        <v>1.1360677083333333E-2</v>
      </c>
      <c r="K99" s="4">
        <v>1.1360677083333333E-2</v>
      </c>
    </row>
    <row r="100" spans="2:11" x14ac:dyDescent="0.25">
      <c r="B100" s="2" t="s">
        <v>4</v>
      </c>
      <c r="C100" s="2">
        <v>2022</v>
      </c>
      <c r="D100" s="11">
        <v>33</v>
      </c>
      <c r="E100" s="4">
        <f t="shared" si="13"/>
        <v>30.5697021484375</v>
      </c>
      <c r="F100" s="4">
        <f t="shared" si="14"/>
        <v>28.46685791015625</v>
      </c>
      <c r="G100" s="4">
        <f t="shared" si="19"/>
        <v>32.67254638671875</v>
      </c>
      <c r="H100" s="4">
        <f t="shared" si="16"/>
        <v>2.10284423828125</v>
      </c>
      <c r="I100" s="4">
        <f t="shared" si="17"/>
        <v>31.690185546875</v>
      </c>
      <c r="J100" s="4">
        <f t="shared" si="18"/>
        <v>3.9691347064393936E-2</v>
      </c>
      <c r="K100" s="4">
        <v>3.9691347064393936E-2</v>
      </c>
    </row>
    <row r="101" spans="2:11" x14ac:dyDescent="0.25">
      <c r="B101" s="2" t="s">
        <v>3</v>
      </c>
      <c r="C101" s="2">
        <v>2022</v>
      </c>
      <c r="D101" s="11">
        <v>31</v>
      </c>
      <c r="E101" s="4">
        <f t="shared" si="13"/>
        <v>30.78485107421875</v>
      </c>
      <c r="F101" s="4">
        <f t="shared" si="14"/>
        <v>29.6258544921875</v>
      </c>
      <c r="G101" s="4">
        <f t="shared" si="19"/>
        <v>31.94384765625</v>
      </c>
      <c r="H101" s="4">
        <f t="shared" si="16"/>
        <v>1.15899658203125</v>
      </c>
      <c r="I101" s="4">
        <f t="shared" si="17"/>
        <v>34.775390625</v>
      </c>
      <c r="J101" s="4">
        <f t="shared" si="18"/>
        <v>-0.1217867943548387</v>
      </c>
      <c r="K101" s="4">
        <v>0.121786794354839</v>
      </c>
    </row>
    <row r="102" spans="2:11" x14ac:dyDescent="0.25">
      <c r="B102" s="2" t="s">
        <v>5</v>
      </c>
      <c r="C102" s="2">
        <v>2022</v>
      </c>
      <c r="D102" s="11">
        <v>30</v>
      </c>
      <c r="E102" s="4">
        <f t="shared" si="13"/>
        <v>30.392425537109375</v>
      </c>
      <c r="F102" s="4">
        <f t="shared" si="14"/>
        <v>30.009140014648438</v>
      </c>
      <c r="G102" s="4">
        <f t="shared" si="19"/>
        <v>30.775711059570313</v>
      </c>
      <c r="H102" s="4">
        <f t="shared" si="16"/>
        <v>0.3832855224609375</v>
      </c>
      <c r="I102" s="4">
        <f t="shared" si="17"/>
        <v>33.10284423828125</v>
      </c>
      <c r="J102" s="4">
        <f t="shared" si="18"/>
        <v>-0.10342814127604166</v>
      </c>
      <c r="K102" s="4">
        <v>0.103428141276042</v>
      </c>
    </row>
    <row r="103" spans="2:11" x14ac:dyDescent="0.25">
      <c r="B103" s="2" t="s">
        <v>6</v>
      </c>
      <c r="C103" s="2">
        <v>2022</v>
      </c>
      <c r="D103" s="11">
        <v>29</v>
      </c>
      <c r="E103" s="4">
        <f t="shared" si="13"/>
        <v>29.696212768554688</v>
      </c>
      <c r="F103" s="4">
        <f t="shared" si="14"/>
        <v>29.852676391601563</v>
      </c>
      <c r="G103" s="4">
        <f t="shared" si="19"/>
        <v>29.539749145507813</v>
      </c>
      <c r="H103" s="4">
        <f t="shared" si="16"/>
        <v>-0.156463623046875</v>
      </c>
      <c r="I103" s="4">
        <f t="shared" si="17"/>
        <v>31.15899658203125</v>
      </c>
      <c r="J103" s="4">
        <f t="shared" si="18"/>
        <v>-7.4448158001077583E-2</v>
      </c>
      <c r="K103" s="4">
        <v>7.4448158001077597E-2</v>
      </c>
    </row>
    <row r="104" spans="2:11" x14ac:dyDescent="0.25">
      <c r="B104" s="2" t="s">
        <v>7</v>
      </c>
      <c r="C104" s="2">
        <v>2022</v>
      </c>
      <c r="D104" s="11">
        <v>27</v>
      </c>
      <c r="E104" s="4">
        <f t="shared" si="13"/>
        <v>28.348106384277344</v>
      </c>
      <c r="F104" s="4">
        <f t="shared" si="14"/>
        <v>29.100391387939453</v>
      </c>
      <c r="G104" s="4">
        <f t="shared" si="19"/>
        <v>27.595821380615234</v>
      </c>
      <c r="H104" s="4">
        <f t="shared" si="16"/>
        <v>-0.75228500366210938</v>
      </c>
      <c r="I104" s="4">
        <f t="shared" si="17"/>
        <v>29.383285522460938</v>
      </c>
      <c r="J104" s="4">
        <f t="shared" si="18"/>
        <v>-8.8269834165219913E-2</v>
      </c>
      <c r="K104" s="4">
        <v>8.8269834165219899E-2</v>
      </c>
    </row>
    <row r="105" spans="2:11" x14ac:dyDescent="0.25">
      <c r="B105" s="2" t="s">
        <v>8</v>
      </c>
      <c r="C105" s="2">
        <v>2022</v>
      </c>
      <c r="D105" s="11">
        <v>26</v>
      </c>
      <c r="E105" s="4">
        <f t="shared" si="13"/>
        <v>27.174053192138672</v>
      </c>
      <c r="F105" s="4">
        <f t="shared" si="14"/>
        <v>28.137222290039063</v>
      </c>
      <c r="G105" s="4">
        <f t="shared" si="19"/>
        <v>26.210884094238281</v>
      </c>
      <c r="H105" s="4">
        <f t="shared" si="16"/>
        <v>-0.96316909790039063</v>
      </c>
      <c r="I105" s="4">
        <f t="shared" si="17"/>
        <v>26.843536376953125</v>
      </c>
      <c r="J105" s="4">
        <f t="shared" si="18"/>
        <v>-3.244370680588942E-2</v>
      </c>
      <c r="K105" s="4">
        <v>3.24437068058894E-2</v>
      </c>
    </row>
    <row r="106" spans="2:11" x14ac:dyDescent="0.25">
      <c r="B106" s="2" t="s">
        <v>9</v>
      </c>
      <c r="C106" s="11">
        <v>2023</v>
      </c>
      <c r="D106" s="11">
        <v>28</v>
      </c>
      <c r="E106" s="4">
        <f t="shared" si="13"/>
        <v>27.587026596069336</v>
      </c>
      <c r="F106" s="4">
        <f t="shared" si="14"/>
        <v>27.862124443054199</v>
      </c>
      <c r="G106" s="4">
        <f t="shared" si="19"/>
        <v>27.311928749084473</v>
      </c>
      <c r="H106" s="4">
        <f t="shared" si="16"/>
        <v>-0.27509784698486328</v>
      </c>
      <c r="I106" s="4">
        <f t="shared" si="17"/>
        <v>25.247714996337891</v>
      </c>
      <c r="J106" s="4">
        <f t="shared" si="18"/>
        <v>9.8295892987932482E-2</v>
      </c>
      <c r="K106" s="4">
        <v>9.8295892987932482E-2</v>
      </c>
    </row>
    <row r="107" spans="2:11" x14ac:dyDescent="0.25">
      <c r="B107" s="2" t="s">
        <v>10</v>
      </c>
      <c r="C107" s="11">
        <v>2023</v>
      </c>
      <c r="D107" s="11">
        <v>28</v>
      </c>
      <c r="E107" s="4">
        <f t="shared" si="13"/>
        <v>27.793513298034668</v>
      </c>
      <c r="F107" s="4">
        <f t="shared" si="14"/>
        <v>27.827818870544434</v>
      </c>
      <c r="G107" s="4">
        <f t="shared" si="19"/>
        <v>27.759207725524902</v>
      </c>
      <c r="H107" s="4">
        <f t="shared" si="16"/>
        <v>-3.4305572509765625E-2</v>
      </c>
      <c r="I107" s="4">
        <f t="shared" si="17"/>
        <v>27.036830902099609</v>
      </c>
      <c r="J107" s="4">
        <f t="shared" si="18"/>
        <v>3.4398896353585381E-2</v>
      </c>
      <c r="K107" s="4">
        <v>3.4398896353585381E-2</v>
      </c>
    </row>
    <row r="108" spans="2:11" x14ac:dyDescent="0.25">
      <c r="B108" s="2" t="s">
        <v>11</v>
      </c>
      <c r="C108" s="11">
        <v>2023</v>
      </c>
      <c r="D108" s="11">
        <v>29</v>
      </c>
      <c r="E108" s="4">
        <f t="shared" si="13"/>
        <v>28.396756649017334</v>
      </c>
      <c r="F108" s="4">
        <f t="shared" si="14"/>
        <v>28.112287759780884</v>
      </c>
      <c r="G108" s="4">
        <f t="shared" si="19"/>
        <v>28.681225538253784</v>
      </c>
      <c r="H108" s="4">
        <f t="shared" si="16"/>
        <v>0.2844688892364502</v>
      </c>
      <c r="I108" s="4">
        <f t="shared" si="17"/>
        <v>27.724902153015137</v>
      </c>
      <c r="J108" s="4">
        <f t="shared" si="18"/>
        <v>4.3968891275340115E-2</v>
      </c>
      <c r="K108" s="4">
        <v>4.3968891275340115E-2</v>
      </c>
    </row>
    <row r="109" spans="2:11" x14ac:dyDescent="0.25">
      <c r="B109" s="2" t="s">
        <v>12</v>
      </c>
      <c r="C109" s="11">
        <v>2023</v>
      </c>
      <c r="D109" s="11">
        <v>29</v>
      </c>
      <c r="E109" s="4">
        <f t="shared" si="13"/>
        <v>28.698378324508667</v>
      </c>
      <c r="F109" s="4">
        <f t="shared" si="14"/>
        <v>28.405333042144775</v>
      </c>
      <c r="G109" s="4">
        <f t="shared" si="19"/>
        <v>28.991423606872559</v>
      </c>
      <c r="H109" s="4">
        <f t="shared" si="16"/>
        <v>0.2930452823638916</v>
      </c>
      <c r="I109" s="4">
        <f t="shared" si="17"/>
        <v>28.965694427490234</v>
      </c>
      <c r="J109" s="4">
        <f t="shared" si="18"/>
        <v>1.1829507761988147E-3</v>
      </c>
      <c r="K109" s="4">
        <v>1.1829507761988147E-3</v>
      </c>
    </row>
    <row r="110" spans="2:11" x14ac:dyDescent="0.25">
      <c r="B110" s="2" t="s">
        <v>13</v>
      </c>
      <c r="C110" s="11">
        <v>2023</v>
      </c>
      <c r="D110" s="11">
        <v>30</v>
      </c>
      <c r="E110" s="4">
        <f t="shared" si="13"/>
        <v>29.349189162254333</v>
      </c>
      <c r="F110" s="4">
        <f t="shared" si="14"/>
        <v>28.877261102199554</v>
      </c>
      <c r="G110" s="4">
        <f t="shared" si="19"/>
        <v>29.821117222309113</v>
      </c>
      <c r="H110" s="4">
        <f t="shared" si="16"/>
        <v>0.47192806005477905</v>
      </c>
      <c r="I110" s="4">
        <f t="shared" si="17"/>
        <v>29.28446888923645</v>
      </c>
      <c r="J110" s="4">
        <f t="shared" si="18"/>
        <v>2.385103702545166E-2</v>
      </c>
      <c r="K110" s="4">
        <v>2.385103702545166E-2</v>
      </c>
    </row>
    <row r="111" spans="2:11" x14ac:dyDescent="0.25">
      <c r="B111" s="2" t="s">
        <v>2</v>
      </c>
      <c r="C111" s="11">
        <v>2023</v>
      </c>
      <c r="D111" s="11">
        <v>30</v>
      </c>
      <c r="E111" s="4">
        <f t="shared" si="13"/>
        <v>29.674594581127167</v>
      </c>
      <c r="F111" s="4">
        <f t="shared" si="14"/>
        <v>29.275927841663361</v>
      </c>
      <c r="G111" s="4">
        <f t="shared" si="19"/>
        <v>30.073261320590973</v>
      </c>
      <c r="H111" s="4">
        <f t="shared" si="16"/>
        <v>0.39866673946380615</v>
      </c>
      <c r="I111" s="4">
        <f t="shared" si="17"/>
        <v>30.293045282363892</v>
      </c>
      <c r="J111" s="4">
        <f t="shared" si="18"/>
        <v>-9.768176078796386E-3</v>
      </c>
      <c r="K111" s="4">
        <v>9.7681760787963895E-3</v>
      </c>
    </row>
    <row r="112" spans="2:11" x14ac:dyDescent="0.25">
      <c r="B112" s="2" t="s">
        <v>4</v>
      </c>
      <c r="C112" s="11">
        <v>2023</v>
      </c>
      <c r="D112" s="11">
        <v>28</v>
      </c>
      <c r="E112" s="4">
        <f t="shared" si="13"/>
        <v>28.837297290563583</v>
      </c>
      <c r="F112" s="4">
        <f t="shared" si="14"/>
        <v>29.056612566113472</v>
      </c>
      <c r="G112" s="4">
        <f t="shared" si="19"/>
        <v>28.617982015013695</v>
      </c>
      <c r="H112" s="4">
        <f t="shared" si="16"/>
        <v>-0.21931527554988861</v>
      </c>
      <c r="I112" s="4">
        <f t="shared" si="17"/>
        <v>30.471928060054779</v>
      </c>
      <c r="J112" s="4">
        <f t="shared" si="18"/>
        <v>-8.8283145001956401E-2</v>
      </c>
      <c r="K112" s="4">
        <v>8.8283145001956401E-2</v>
      </c>
    </row>
    <row r="113" spans="2:14" x14ac:dyDescent="0.25">
      <c r="B113" s="2" t="s">
        <v>3</v>
      </c>
      <c r="C113" s="11">
        <v>2023</v>
      </c>
      <c r="D113" s="11">
        <v>26</v>
      </c>
      <c r="E113" s="4">
        <f t="shared" si="13"/>
        <v>27.418648645281792</v>
      </c>
      <c r="F113" s="4">
        <f t="shared" si="14"/>
        <v>28.237630605697632</v>
      </c>
      <c r="G113" s="4">
        <f t="shared" si="19"/>
        <v>26.599666684865952</v>
      </c>
      <c r="H113" s="4">
        <f t="shared" si="16"/>
        <v>-0.81898196041584015</v>
      </c>
      <c r="I113" s="4">
        <f t="shared" si="17"/>
        <v>28.398666739463806</v>
      </c>
      <c r="J113" s="4">
        <f t="shared" si="18"/>
        <v>-9.2256413056300238E-2</v>
      </c>
      <c r="K113" s="4">
        <v>9.2256413056300196E-2</v>
      </c>
    </row>
    <row r="114" spans="2:14" x14ac:dyDescent="0.25">
      <c r="B114" s="2" t="s">
        <v>5</v>
      </c>
      <c r="C114" s="11">
        <v>2023</v>
      </c>
      <c r="D114" s="11">
        <v>24</v>
      </c>
      <c r="E114" s="4">
        <f t="shared" si="13"/>
        <v>25.709324322640896</v>
      </c>
      <c r="F114" s="4">
        <f t="shared" si="14"/>
        <v>26.973477464169264</v>
      </c>
      <c r="G114" s="4">
        <f t="shared" si="19"/>
        <v>24.445171181112528</v>
      </c>
      <c r="H114" s="4">
        <f t="shared" si="16"/>
        <v>-1.264153141528368</v>
      </c>
      <c r="I114" s="4">
        <f t="shared" si="17"/>
        <v>25.780684724450111</v>
      </c>
      <c r="J114" s="4">
        <f t="shared" si="18"/>
        <v>-7.4195196852087975E-2</v>
      </c>
      <c r="K114" s="4">
        <v>7.4195196852088002E-2</v>
      </c>
    </row>
    <row r="115" spans="2:14" x14ac:dyDescent="0.25">
      <c r="B115" s="2" t="s">
        <v>6</v>
      </c>
      <c r="C115" s="11">
        <v>2023</v>
      </c>
      <c r="D115" s="11">
        <v>20</v>
      </c>
      <c r="E115" s="4">
        <f t="shared" si="13"/>
        <v>22.854662161320448</v>
      </c>
      <c r="F115" s="4">
        <f t="shared" si="14"/>
        <v>24.914069812744856</v>
      </c>
      <c r="G115" s="4">
        <f t="shared" si="19"/>
        <v>20.79525450989604</v>
      </c>
      <c r="H115" s="4">
        <f t="shared" si="16"/>
        <v>-2.059407651424408</v>
      </c>
      <c r="I115" s="4">
        <f t="shared" si="17"/>
        <v>23.18101803958416</v>
      </c>
      <c r="J115" s="4">
        <f t="shared" si="18"/>
        <v>-0.15905090197920799</v>
      </c>
      <c r="K115" s="4">
        <v>0.15905090197920799</v>
      </c>
    </row>
    <row r="116" spans="2:14" x14ac:dyDescent="0.25">
      <c r="B116" s="2" t="s">
        <v>7</v>
      </c>
      <c r="C116" s="11">
        <v>2024</v>
      </c>
      <c r="D116" s="11">
        <v>22</v>
      </c>
      <c r="E116" s="4">
        <f t="shared" si="13"/>
        <v>22.427331080660224</v>
      </c>
      <c r="F116" s="4">
        <f t="shared" si="14"/>
        <v>23.67070044670254</v>
      </c>
      <c r="G116" s="4">
        <f t="shared" si="19"/>
        <v>21.183961714617908</v>
      </c>
      <c r="H116" s="4">
        <f t="shared" si="16"/>
        <v>-1.243369366042316</v>
      </c>
      <c r="I116" s="4">
        <f t="shared" si="17"/>
        <v>18.735846858471632</v>
      </c>
      <c r="J116" s="4">
        <f t="shared" si="18"/>
        <v>0.14837059734219854</v>
      </c>
      <c r="K116" s="4">
        <v>0.14837059734219854</v>
      </c>
    </row>
    <row r="117" spans="2:14" x14ac:dyDescent="0.25">
      <c r="B117" s="2" t="s">
        <v>8</v>
      </c>
      <c r="C117" s="11">
        <v>2024</v>
      </c>
      <c r="D117" s="11">
        <v>19</v>
      </c>
      <c r="E117" s="4">
        <f t="shared" si="13"/>
        <v>20.713665540330112</v>
      </c>
      <c r="F117" s="4">
        <f t="shared" si="14"/>
        <v>22.192182993516326</v>
      </c>
      <c r="G117" s="4">
        <f t="shared" si="19"/>
        <v>19.235148087143898</v>
      </c>
      <c r="H117" s="4">
        <f t="shared" si="16"/>
        <v>-1.478517453186214</v>
      </c>
      <c r="I117" s="4">
        <f t="shared" si="17"/>
        <v>19.940592348575592</v>
      </c>
      <c r="J117" s="4">
        <f t="shared" si="18"/>
        <v>-4.9504860451346951E-2</v>
      </c>
      <c r="K117" s="4">
        <v>4.9504860451346999E-2</v>
      </c>
    </row>
    <row r="118" spans="2:14" x14ac:dyDescent="0.25">
      <c r="B118" s="2" t="s">
        <v>9</v>
      </c>
      <c r="C118" s="11">
        <v>2024</v>
      </c>
      <c r="D118" s="11">
        <v>31</v>
      </c>
      <c r="E118" s="4">
        <f t="shared" si="13"/>
        <v>25.856832770165056</v>
      </c>
      <c r="F118" s="4">
        <f t="shared" si="14"/>
        <v>24.024507881840691</v>
      </c>
      <c r="G118" s="4">
        <f t="shared" si="19"/>
        <v>27.689157658489421</v>
      </c>
      <c r="H118" s="4">
        <f t="shared" si="16"/>
        <v>1.832324888324365</v>
      </c>
      <c r="I118" s="4">
        <f t="shared" si="17"/>
        <v>17.756630633957684</v>
      </c>
      <c r="J118" s="4">
        <f t="shared" si="18"/>
        <v>0.42720546342071986</v>
      </c>
      <c r="K118" s="4">
        <v>0.42720546342071986</v>
      </c>
    </row>
    <row r="119" spans="2:14" x14ac:dyDescent="0.25">
      <c r="B119" s="2" t="s">
        <v>10</v>
      </c>
      <c r="C119" s="11">
        <v>2024</v>
      </c>
      <c r="D119" s="11">
        <v>34</v>
      </c>
      <c r="E119" s="4">
        <f t="shared" si="13"/>
        <v>29.928416385082528</v>
      </c>
      <c r="F119" s="4">
        <f t="shared" si="14"/>
        <v>26.976462133461609</v>
      </c>
      <c r="G119" s="4">
        <f t="shared" si="19"/>
        <v>32.880370636703447</v>
      </c>
      <c r="H119" s="4">
        <f t="shared" si="16"/>
        <v>2.9519542516209185</v>
      </c>
      <c r="I119" s="4">
        <f t="shared" si="17"/>
        <v>29.521482546813786</v>
      </c>
      <c r="J119" s="4">
        <f t="shared" si="18"/>
        <v>0.13172110156430042</v>
      </c>
      <c r="K119" s="4">
        <v>0.13172110156430042</v>
      </c>
    </row>
    <row r="120" spans="2:14" x14ac:dyDescent="0.25">
      <c r="B120" s="2" t="s">
        <v>11</v>
      </c>
      <c r="C120" s="11">
        <v>2024</v>
      </c>
      <c r="D120" s="11">
        <v>36</v>
      </c>
      <c r="E120" s="4">
        <f t="shared" si="13"/>
        <v>32.964208192541264</v>
      </c>
      <c r="F120" s="4">
        <f t="shared" si="14"/>
        <v>29.970335163001437</v>
      </c>
      <c r="G120" s="4">
        <f t="shared" si="19"/>
        <v>35.958081222081091</v>
      </c>
      <c r="H120" s="4">
        <f t="shared" si="16"/>
        <v>2.9938730295398273</v>
      </c>
      <c r="I120" s="4">
        <f t="shared" si="17"/>
        <v>35.832324888324365</v>
      </c>
      <c r="J120" s="4">
        <f t="shared" si="18"/>
        <v>4.6576419909898602E-3</v>
      </c>
      <c r="K120" s="4">
        <v>4.6576419909898602E-3</v>
      </c>
    </row>
    <row r="121" spans="2:14" x14ac:dyDescent="0.25">
      <c r="B121" s="2" t="s">
        <v>12</v>
      </c>
      <c r="C121" s="11">
        <v>2024</v>
      </c>
      <c r="D121" s="11">
        <v>38</v>
      </c>
      <c r="E121" s="4">
        <f t="shared" si="13"/>
        <v>35.482104096270632</v>
      </c>
      <c r="F121" s="4">
        <f t="shared" si="14"/>
        <v>32.726219629636034</v>
      </c>
      <c r="G121" s="4">
        <f t="shared" si="19"/>
        <v>38.23798856290523</v>
      </c>
      <c r="H121" s="4">
        <f t="shared" si="16"/>
        <v>2.7558844666345976</v>
      </c>
      <c r="I121" s="4">
        <f t="shared" si="17"/>
        <v>38.951954251620919</v>
      </c>
      <c r="J121" s="4">
        <f t="shared" si="18"/>
        <v>-2.5051427674234697E-2</v>
      </c>
      <c r="K121" s="4">
        <v>2.50514276742347E-2</v>
      </c>
    </row>
    <row r="122" spans="2:14" x14ac:dyDescent="0.25">
      <c r="B122" s="2" t="s">
        <v>13</v>
      </c>
      <c r="C122" s="12">
        <v>2024</v>
      </c>
      <c r="D122" s="12">
        <v>40</v>
      </c>
      <c r="E122" s="4">
        <f t="shared" si="13"/>
        <v>37.741052048135316</v>
      </c>
      <c r="F122" s="4">
        <f t="shared" si="14"/>
        <v>35.233635838885675</v>
      </c>
      <c r="G122" s="4">
        <f t="shared" si="19"/>
        <v>40.248468257384957</v>
      </c>
      <c r="H122" s="4">
        <f t="shared" si="16"/>
        <v>2.5074162092496408</v>
      </c>
      <c r="I122" s="4">
        <f t="shared" si="17"/>
        <v>40.993873029539827</v>
      </c>
      <c r="J122" s="4">
        <f t="shared" si="18"/>
        <v>-2.4846825738495681E-2</v>
      </c>
      <c r="K122" s="4">
        <v>2.4846825738495702E-2</v>
      </c>
    </row>
    <row r="123" spans="2:14" x14ac:dyDescent="0.25">
      <c r="B123" s="8" t="s">
        <v>2</v>
      </c>
      <c r="C123" s="13">
        <v>2024</v>
      </c>
      <c r="D123" s="8"/>
      <c r="E123" s="10"/>
      <c r="F123" s="10"/>
      <c r="G123" s="10"/>
      <c r="H123" s="10"/>
      <c r="I123" s="9">
        <f t="shared" si="17"/>
        <v>42.755884466634598</v>
      </c>
      <c r="J123" s="14" t="s">
        <v>21</v>
      </c>
      <c r="K123" s="10">
        <f>100/36*SUM(K88:K122)</f>
        <v>8.6449228602825716</v>
      </c>
    </row>
    <row r="128" spans="2:14" x14ac:dyDescent="0.25">
      <c r="B128" s="3" t="s">
        <v>0</v>
      </c>
      <c r="C128" s="3" t="s">
        <v>1</v>
      </c>
      <c r="D128" s="3" t="s">
        <v>22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 t="s">
        <v>19</v>
      </c>
      <c r="K128" s="3" t="s">
        <v>20</v>
      </c>
      <c r="N128" s="7">
        <v>0.4</v>
      </c>
    </row>
    <row r="129" spans="2:14" x14ac:dyDescent="0.25">
      <c r="B129" s="2" t="s">
        <v>2</v>
      </c>
      <c r="C129" s="2">
        <v>2021</v>
      </c>
      <c r="D129" s="2">
        <v>27</v>
      </c>
      <c r="E129" s="2">
        <v>27</v>
      </c>
      <c r="F129" s="2">
        <v>27</v>
      </c>
      <c r="G129" s="2">
        <v>27</v>
      </c>
      <c r="H129" s="2">
        <v>0</v>
      </c>
      <c r="I129" s="5"/>
      <c r="J129" s="5"/>
      <c r="K129" s="5"/>
      <c r="N129" s="7">
        <v>0.6</v>
      </c>
    </row>
    <row r="130" spans="2:14" x14ac:dyDescent="0.25">
      <c r="B130" s="2" t="s">
        <v>4</v>
      </c>
      <c r="C130" s="2">
        <v>2021</v>
      </c>
      <c r="D130" s="2">
        <v>24</v>
      </c>
      <c r="E130" s="4">
        <f>($N$128)*D130+($N$129)*E129</f>
        <v>25.8</v>
      </c>
      <c r="F130" s="4">
        <f>($N$128)*E130+($N$129)*F129</f>
        <v>26.52</v>
      </c>
      <c r="G130" s="4">
        <f>2*(E130)-(F130)</f>
        <v>25.080000000000002</v>
      </c>
      <c r="H130" s="4">
        <f>$N$128/$N$129*(E130-F130)</f>
        <v>-0.47999999999999932</v>
      </c>
      <c r="I130" s="4">
        <f>G129+H129</f>
        <v>27</v>
      </c>
      <c r="J130" s="4">
        <f>(D130-I130)/D130</f>
        <v>-0.125</v>
      </c>
      <c r="K130" s="4">
        <v>0.125</v>
      </c>
    </row>
    <row r="131" spans="2:14" x14ac:dyDescent="0.25">
      <c r="B131" s="2" t="s">
        <v>3</v>
      </c>
      <c r="C131" s="2">
        <v>2021</v>
      </c>
      <c r="D131" s="2">
        <v>22</v>
      </c>
      <c r="E131" s="4">
        <f t="shared" ref="E131:E164" si="20">($N$128)*D131+($N$129)*E130</f>
        <v>24.28</v>
      </c>
      <c r="F131" s="4">
        <f t="shared" ref="F131:F164" si="21">($N$128)*E131+($N$129)*F130</f>
        <v>25.624000000000002</v>
      </c>
      <c r="G131" s="4">
        <f t="shared" ref="G131:G139" si="22">2*(E131)-(F131)</f>
        <v>22.936</v>
      </c>
      <c r="H131" s="4">
        <f t="shared" ref="H131:H164" si="23">$N$128/$N$129*(E131-F131)</f>
        <v>-0.89600000000000091</v>
      </c>
      <c r="I131" s="4">
        <f>G130+H130</f>
        <v>24.6</v>
      </c>
      <c r="J131" s="4">
        <f>(D131-I131)/D131</f>
        <v>-0.11818181818181825</v>
      </c>
      <c r="K131" s="4">
        <v>0.118181818181818</v>
      </c>
    </row>
    <row r="132" spans="2:14" x14ac:dyDescent="0.25">
      <c r="B132" s="2" t="s">
        <v>5</v>
      </c>
      <c r="C132" s="2">
        <v>2021</v>
      </c>
      <c r="D132" s="2">
        <v>19</v>
      </c>
      <c r="E132" s="4">
        <f t="shared" si="20"/>
        <v>22.167999999999999</v>
      </c>
      <c r="F132" s="4">
        <f t="shared" si="21"/>
        <v>24.241600000000002</v>
      </c>
      <c r="G132" s="4">
        <f t="shared" si="22"/>
        <v>20.094399999999997</v>
      </c>
      <c r="H132" s="4">
        <f t="shared" si="23"/>
        <v>-1.3824000000000018</v>
      </c>
      <c r="I132" s="4">
        <f t="shared" ref="I132:I165" si="24">G131+H131</f>
        <v>22.04</v>
      </c>
      <c r="J132" s="4">
        <f t="shared" ref="J132:J164" si="25">(D132-I132)/D132</f>
        <v>-0.15999999999999995</v>
      </c>
      <c r="K132" s="4">
        <v>0.16</v>
      </c>
    </row>
    <row r="133" spans="2:14" x14ac:dyDescent="0.25">
      <c r="B133" s="2" t="s">
        <v>6</v>
      </c>
      <c r="C133" s="2">
        <v>2021</v>
      </c>
      <c r="D133" s="2">
        <v>18</v>
      </c>
      <c r="E133" s="4">
        <f t="shared" si="20"/>
        <v>20.500799999999998</v>
      </c>
      <c r="F133" s="4">
        <f t="shared" si="21"/>
        <v>22.745280000000001</v>
      </c>
      <c r="G133" s="4">
        <f t="shared" si="22"/>
        <v>18.256319999999995</v>
      </c>
      <c r="H133" s="4">
        <f t="shared" si="23"/>
        <v>-1.4963200000000021</v>
      </c>
      <c r="I133" s="4">
        <f t="shared" si="24"/>
        <v>18.711999999999996</v>
      </c>
      <c r="J133" s="4">
        <f t="shared" si="25"/>
        <v>-3.9555555555555344E-2</v>
      </c>
      <c r="K133" s="4">
        <v>3.9555555555555302E-2</v>
      </c>
    </row>
    <row r="134" spans="2:14" x14ac:dyDescent="0.25">
      <c r="B134" s="2" t="s">
        <v>7</v>
      </c>
      <c r="C134" s="2">
        <v>2021</v>
      </c>
      <c r="D134" s="2">
        <v>18</v>
      </c>
      <c r="E134" s="4">
        <f t="shared" si="20"/>
        <v>19.50048</v>
      </c>
      <c r="F134" s="4">
        <f t="shared" si="21"/>
        <v>21.44736</v>
      </c>
      <c r="G134" s="4">
        <f t="shared" si="22"/>
        <v>17.553599999999999</v>
      </c>
      <c r="H134" s="4">
        <f t="shared" si="23"/>
        <v>-1.2979200000000002</v>
      </c>
      <c r="I134" s="4">
        <f t="shared" si="24"/>
        <v>16.759999999999994</v>
      </c>
      <c r="J134" s="4">
        <f t="shared" si="25"/>
        <v>6.8888888888889194E-2</v>
      </c>
      <c r="K134" s="4">
        <v>6.8888888888889194E-2</v>
      </c>
    </row>
    <row r="135" spans="2:14" x14ac:dyDescent="0.25">
      <c r="B135" s="2" t="s">
        <v>8</v>
      </c>
      <c r="C135" s="2">
        <v>2021</v>
      </c>
      <c r="D135" s="2">
        <v>15</v>
      </c>
      <c r="E135" s="4">
        <f t="shared" si="20"/>
        <v>17.700288</v>
      </c>
      <c r="F135" s="4">
        <f t="shared" si="21"/>
        <v>19.948531200000001</v>
      </c>
      <c r="G135" s="4">
        <f t="shared" si="22"/>
        <v>15.452044799999999</v>
      </c>
      <c r="H135" s="4">
        <f t="shared" si="23"/>
        <v>-1.4988288000000007</v>
      </c>
      <c r="I135" s="4">
        <f t="shared" si="24"/>
        <v>16.255679999999998</v>
      </c>
      <c r="J135" s="4">
        <f t="shared" si="25"/>
        <v>-8.371199999999987E-2</v>
      </c>
      <c r="K135" s="4">
        <v>8.3711999999999898E-2</v>
      </c>
    </row>
    <row r="136" spans="2:14" x14ac:dyDescent="0.25">
      <c r="B136" s="2" t="s">
        <v>9</v>
      </c>
      <c r="C136" s="2">
        <v>2022</v>
      </c>
      <c r="D136" s="2">
        <v>20</v>
      </c>
      <c r="E136" s="4">
        <f t="shared" si="20"/>
        <v>18.620172799999999</v>
      </c>
      <c r="F136" s="4">
        <f t="shared" si="21"/>
        <v>19.41718784</v>
      </c>
      <c r="G136" s="4">
        <f t="shared" si="22"/>
        <v>17.823157759999997</v>
      </c>
      <c r="H136" s="4">
        <f t="shared" si="23"/>
        <v>-0.53134336000000115</v>
      </c>
      <c r="I136" s="4">
        <f t="shared" si="24"/>
        <v>13.953215999999999</v>
      </c>
      <c r="J136" s="4">
        <f t="shared" si="25"/>
        <v>0.30233920000000003</v>
      </c>
      <c r="K136" s="4">
        <v>0.30233920000000003</v>
      </c>
    </row>
    <row r="137" spans="2:14" x14ac:dyDescent="0.25">
      <c r="B137" s="2" t="s">
        <v>10</v>
      </c>
      <c r="C137" s="2">
        <v>2022</v>
      </c>
      <c r="D137" s="2">
        <v>22</v>
      </c>
      <c r="E137" s="4">
        <f t="shared" si="20"/>
        <v>19.97210368</v>
      </c>
      <c r="F137" s="4">
        <f t="shared" si="21"/>
        <v>19.639154175999998</v>
      </c>
      <c r="G137" s="4">
        <f t="shared" si="22"/>
        <v>20.305053184000002</v>
      </c>
      <c r="H137" s="4">
        <f t="shared" si="23"/>
        <v>0.22196633600000129</v>
      </c>
      <c r="I137" s="4">
        <f t="shared" si="24"/>
        <v>17.291814399999996</v>
      </c>
      <c r="J137" s="4">
        <f t="shared" si="25"/>
        <v>0.21400843636363653</v>
      </c>
      <c r="K137" s="4">
        <v>0.21400843636363653</v>
      </c>
    </row>
    <row r="138" spans="2:14" x14ac:dyDescent="0.25">
      <c r="B138" s="2" t="s">
        <v>11</v>
      </c>
      <c r="C138" s="2">
        <v>2022</v>
      </c>
      <c r="D138" s="2">
        <v>26</v>
      </c>
      <c r="E138" s="4">
        <f t="shared" si="20"/>
        <v>22.383262207999998</v>
      </c>
      <c r="F138" s="4">
        <f t="shared" si="21"/>
        <v>20.736797388799999</v>
      </c>
      <c r="G138" s="4">
        <f t="shared" si="22"/>
        <v>24.029727027199996</v>
      </c>
      <c r="H138" s="4">
        <f t="shared" si="23"/>
        <v>1.0976432127999991</v>
      </c>
      <c r="I138" s="4">
        <f t="shared" si="24"/>
        <v>20.527019520000003</v>
      </c>
      <c r="J138" s="4">
        <f t="shared" si="25"/>
        <v>0.2104992492307691</v>
      </c>
      <c r="K138" s="4">
        <v>0.2104992492307691</v>
      </c>
    </row>
    <row r="139" spans="2:14" x14ac:dyDescent="0.25">
      <c r="B139" s="2" t="s">
        <v>12</v>
      </c>
      <c r="C139" s="2">
        <v>2022</v>
      </c>
      <c r="D139" s="2">
        <v>26</v>
      </c>
      <c r="E139" s="4">
        <f t="shared" si="20"/>
        <v>23.829957324799999</v>
      </c>
      <c r="F139" s="4">
        <f t="shared" si="21"/>
        <v>21.974061363200001</v>
      </c>
      <c r="G139" s="4">
        <f t="shared" si="22"/>
        <v>25.685853286399997</v>
      </c>
      <c r="H139" s="4">
        <f t="shared" si="23"/>
        <v>1.2372639743999989</v>
      </c>
      <c r="I139" s="4">
        <f t="shared" si="24"/>
        <v>25.127370239999994</v>
      </c>
      <c r="J139" s="4">
        <f t="shared" si="25"/>
        <v>3.3562683076923304E-2</v>
      </c>
      <c r="K139" s="4">
        <v>3.3562683076923304E-2</v>
      </c>
    </row>
    <row r="140" spans="2:14" x14ac:dyDescent="0.25">
      <c r="B140" s="2" t="s">
        <v>13</v>
      </c>
      <c r="C140" s="2">
        <v>2022</v>
      </c>
      <c r="D140" s="2">
        <v>28</v>
      </c>
      <c r="E140" s="4">
        <f t="shared" si="20"/>
        <v>25.49797439488</v>
      </c>
      <c r="F140" s="4">
        <f t="shared" si="21"/>
        <v>23.383626575872</v>
      </c>
      <c r="G140" s="4">
        <f>2*(E140)-(F140)</f>
        <v>27.612322213888</v>
      </c>
      <c r="H140" s="4">
        <f t="shared" si="23"/>
        <v>1.409565212672</v>
      </c>
      <c r="I140" s="4">
        <f t="shared" si="24"/>
        <v>26.923117260799994</v>
      </c>
      <c r="J140" s="4">
        <f t="shared" si="25"/>
        <v>3.8460097828571627E-2</v>
      </c>
      <c r="K140" s="4">
        <v>3.8460097828571627E-2</v>
      </c>
    </row>
    <row r="141" spans="2:14" x14ac:dyDescent="0.25">
      <c r="B141" s="2" t="s">
        <v>2</v>
      </c>
      <c r="C141" s="2">
        <v>2022</v>
      </c>
      <c r="D141" s="11">
        <v>30</v>
      </c>
      <c r="E141" s="4">
        <f t="shared" si="20"/>
        <v>27.298784636927998</v>
      </c>
      <c r="F141" s="4">
        <f t="shared" si="21"/>
        <v>24.949689800294401</v>
      </c>
      <c r="G141" s="4">
        <f t="shared" ref="G141:G164" si="26">2*(E141)-(F141)</f>
        <v>29.647879473561595</v>
      </c>
      <c r="H141" s="4">
        <f t="shared" si="23"/>
        <v>1.5660632244223982</v>
      </c>
      <c r="I141" s="4">
        <f t="shared" si="24"/>
        <v>29.021887426559999</v>
      </c>
      <c r="J141" s="4">
        <f t="shared" si="25"/>
        <v>3.2603752448000026E-2</v>
      </c>
      <c r="K141" s="4">
        <v>3.2603752448000026E-2</v>
      </c>
    </row>
    <row r="142" spans="2:14" x14ac:dyDescent="0.25">
      <c r="B142" s="2" t="s">
        <v>4</v>
      </c>
      <c r="C142" s="2">
        <v>2022</v>
      </c>
      <c r="D142" s="11">
        <v>33</v>
      </c>
      <c r="E142" s="4">
        <f t="shared" si="20"/>
        <v>29.579270782156797</v>
      </c>
      <c r="F142" s="4">
        <f t="shared" si="21"/>
        <v>26.801522193039361</v>
      </c>
      <c r="G142" s="4">
        <f t="shared" si="26"/>
        <v>32.357019371274234</v>
      </c>
      <c r="H142" s="4">
        <f t="shared" si="23"/>
        <v>1.8518323927449578</v>
      </c>
      <c r="I142" s="4">
        <f t="shared" si="24"/>
        <v>31.213942697983992</v>
      </c>
      <c r="J142" s="4">
        <f t="shared" si="25"/>
        <v>5.4122948545939645E-2</v>
      </c>
      <c r="K142" s="4">
        <v>5.4122948545939645E-2</v>
      </c>
    </row>
    <row r="143" spans="2:14" x14ac:dyDescent="0.25">
      <c r="B143" s="2" t="s">
        <v>3</v>
      </c>
      <c r="C143" s="2">
        <v>2022</v>
      </c>
      <c r="D143" s="11">
        <v>31</v>
      </c>
      <c r="E143" s="4">
        <f t="shared" si="20"/>
        <v>30.14756246929408</v>
      </c>
      <c r="F143" s="4">
        <f t="shared" si="21"/>
        <v>28.13993830354125</v>
      </c>
      <c r="G143" s="4">
        <f t="shared" si="26"/>
        <v>32.15518663504691</v>
      </c>
      <c r="H143" s="4">
        <f t="shared" si="23"/>
        <v>1.3384161105018868</v>
      </c>
      <c r="I143" s="4">
        <f t="shared" si="24"/>
        <v>34.208851764019194</v>
      </c>
      <c r="J143" s="4">
        <f t="shared" si="25"/>
        <v>-0.1035113472264256</v>
      </c>
      <c r="K143" s="4">
        <v>0.10351134722642601</v>
      </c>
    </row>
    <row r="144" spans="2:14" x14ac:dyDescent="0.25">
      <c r="B144" s="2" t="s">
        <v>5</v>
      </c>
      <c r="C144" s="2">
        <v>2022</v>
      </c>
      <c r="D144" s="11">
        <v>30</v>
      </c>
      <c r="E144" s="4">
        <f t="shared" si="20"/>
        <v>30.088537481576449</v>
      </c>
      <c r="F144" s="4">
        <f t="shared" si="21"/>
        <v>28.919377974755328</v>
      </c>
      <c r="G144" s="4">
        <f t="shared" si="26"/>
        <v>31.257696988397569</v>
      </c>
      <c r="H144" s="4">
        <f t="shared" si="23"/>
        <v>0.77943967121408053</v>
      </c>
      <c r="I144" s="4">
        <f t="shared" si="24"/>
        <v>33.493602745548799</v>
      </c>
      <c r="J144" s="4">
        <f t="shared" si="25"/>
        <v>-0.11645342485162663</v>
      </c>
      <c r="K144" s="4">
        <v>0.116453424851627</v>
      </c>
    </row>
    <row r="145" spans="2:11" x14ac:dyDescent="0.25">
      <c r="B145" s="2" t="s">
        <v>6</v>
      </c>
      <c r="C145" s="2">
        <v>2022</v>
      </c>
      <c r="D145" s="11">
        <v>29</v>
      </c>
      <c r="E145" s="4">
        <f t="shared" si="20"/>
        <v>29.653122488945868</v>
      </c>
      <c r="F145" s="4">
        <f t="shared" si="21"/>
        <v>29.212875780431546</v>
      </c>
      <c r="G145" s="4">
        <f t="shared" si="26"/>
        <v>30.093369197460191</v>
      </c>
      <c r="H145" s="4">
        <f t="shared" si="23"/>
        <v>0.29349780567621531</v>
      </c>
      <c r="I145" s="4">
        <f t="shared" si="24"/>
        <v>32.037136659611647</v>
      </c>
      <c r="J145" s="4">
        <f t="shared" si="25"/>
        <v>-0.10472885033143611</v>
      </c>
      <c r="K145" s="4">
        <v>0.104728850331436</v>
      </c>
    </row>
    <row r="146" spans="2:11" x14ac:dyDescent="0.25">
      <c r="B146" s="2" t="s">
        <v>7</v>
      </c>
      <c r="C146" s="2">
        <v>2022</v>
      </c>
      <c r="D146" s="11">
        <v>27</v>
      </c>
      <c r="E146" s="4">
        <f t="shared" si="20"/>
        <v>28.591873493367522</v>
      </c>
      <c r="F146" s="4">
        <f t="shared" si="21"/>
        <v>28.964474865605936</v>
      </c>
      <c r="G146" s="4">
        <f t="shared" si="26"/>
        <v>28.219272121129109</v>
      </c>
      <c r="H146" s="4">
        <f t="shared" si="23"/>
        <v>-0.24840091482560925</v>
      </c>
      <c r="I146" s="4">
        <f t="shared" si="24"/>
        <v>30.386867003136405</v>
      </c>
      <c r="J146" s="4">
        <f t="shared" si="25"/>
        <v>-0.1254395186346817</v>
      </c>
      <c r="K146" s="4">
        <v>0.125439518634682</v>
      </c>
    </row>
    <row r="147" spans="2:11" x14ac:dyDescent="0.25">
      <c r="B147" s="2" t="s">
        <v>8</v>
      </c>
      <c r="C147" s="2">
        <v>2022</v>
      </c>
      <c r="D147" s="11">
        <v>26</v>
      </c>
      <c r="E147" s="4">
        <f t="shared" si="20"/>
        <v>27.555124096020513</v>
      </c>
      <c r="F147" s="4">
        <f t="shared" si="21"/>
        <v>28.400734557771766</v>
      </c>
      <c r="G147" s="4">
        <f t="shared" si="26"/>
        <v>26.709513634269261</v>
      </c>
      <c r="H147" s="4">
        <f t="shared" si="23"/>
        <v>-0.56374030783416873</v>
      </c>
      <c r="I147" s="4">
        <f t="shared" si="24"/>
        <v>27.970871206303499</v>
      </c>
      <c r="J147" s="4">
        <f t="shared" si="25"/>
        <v>-7.5802738703980743E-2</v>
      </c>
      <c r="K147" s="4">
        <v>7.5802738703980702E-2</v>
      </c>
    </row>
    <row r="148" spans="2:11" x14ac:dyDescent="0.25">
      <c r="B148" s="2" t="s">
        <v>9</v>
      </c>
      <c r="C148" s="11">
        <v>2023</v>
      </c>
      <c r="D148" s="11">
        <v>28</v>
      </c>
      <c r="E148" s="4">
        <f t="shared" si="20"/>
        <v>27.733074457612311</v>
      </c>
      <c r="F148" s="4">
        <f t="shared" si="21"/>
        <v>28.133670517707984</v>
      </c>
      <c r="G148" s="4">
        <f t="shared" si="26"/>
        <v>27.332478397516638</v>
      </c>
      <c r="H148" s="4">
        <f t="shared" si="23"/>
        <v>-0.26706404006378176</v>
      </c>
      <c r="I148" s="4">
        <f t="shared" si="24"/>
        <v>26.145773326435091</v>
      </c>
      <c r="J148" s="4">
        <f t="shared" si="25"/>
        <v>6.6222381198746766E-2</v>
      </c>
      <c r="K148" s="4">
        <v>6.6222381198746766E-2</v>
      </c>
    </row>
    <row r="149" spans="2:11" x14ac:dyDescent="0.25">
      <c r="B149" s="2" t="s">
        <v>10</v>
      </c>
      <c r="C149" s="11">
        <v>2023</v>
      </c>
      <c r="D149" s="11">
        <v>28</v>
      </c>
      <c r="E149" s="4">
        <f t="shared" si="20"/>
        <v>27.839844674567388</v>
      </c>
      <c r="F149" s="4">
        <f t="shared" si="21"/>
        <v>28.016140180451742</v>
      </c>
      <c r="G149" s="4">
        <f t="shared" si="26"/>
        <v>27.663549168683033</v>
      </c>
      <c r="H149" s="4">
        <f t="shared" si="23"/>
        <v>-0.11753033725623635</v>
      </c>
      <c r="I149" s="4">
        <f t="shared" si="24"/>
        <v>27.065414357452855</v>
      </c>
      <c r="J149" s="4">
        <f t="shared" si="25"/>
        <v>3.337805866239802E-2</v>
      </c>
      <c r="K149" s="4">
        <v>3.337805866239802E-2</v>
      </c>
    </row>
    <row r="150" spans="2:11" x14ac:dyDescent="0.25">
      <c r="B150" s="2" t="s">
        <v>11</v>
      </c>
      <c r="C150" s="11">
        <v>2023</v>
      </c>
      <c r="D150" s="11">
        <v>29</v>
      </c>
      <c r="E150" s="4">
        <f t="shared" si="20"/>
        <v>28.303906804740432</v>
      </c>
      <c r="F150" s="4">
        <f t="shared" si="21"/>
        <v>28.131246830167221</v>
      </c>
      <c r="G150" s="4">
        <f t="shared" si="26"/>
        <v>28.476566779313643</v>
      </c>
      <c r="H150" s="4">
        <f t="shared" si="23"/>
        <v>0.11510664971547396</v>
      </c>
      <c r="I150" s="4">
        <f t="shared" si="24"/>
        <v>27.546018831426796</v>
      </c>
      <c r="J150" s="4">
        <f t="shared" si="25"/>
        <v>5.013728167493807E-2</v>
      </c>
      <c r="K150" s="4">
        <v>5.013728167493807E-2</v>
      </c>
    </row>
    <row r="151" spans="2:11" x14ac:dyDescent="0.25">
      <c r="B151" s="2" t="s">
        <v>12</v>
      </c>
      <c r="C151" s="11">
        <v>2023</v>
      </c>
      <c r="D151" s="11">
        <v>29</v>
      </c>
      <c r="E151" s="4">
        <f t="shared" si="20"/>
        <v>28.582344082844259</v>
      </c>
      <c r="F151" s="4">
        <f t="shared" si="21"/>
        <v>28.311685731238036</v>
      </c>
      <c r="G151" s="4">
        <f t="shared" si="26"/>
        <v>28.853002434450481</v>
      </c>
      <c r="H151" s="4">
        <f t="shared" si="23"/>
        <v>0.18043890107081498</v>
      </c>
      <c r="I151" s="4">
        <f t="shared" si="24"/>
        <v>28.591673429029118</v>
      </c>
      <c r="J151" s="4">
        <f t="shared" si="25"/>
        <v>1.4080226585202823E-2</v>
      </c>
      <c r="K151" s="4">
        <v>1.4080226585202823E-2</v>
      </c>
    </row>
    <row r="152" spans="2:11" x14ac:dyDescent="0.25">
      <c r="B152" s="2" t="s">
        <v>13</v>
      </c>
      <c r="C152" s="11">
        <v>2023</v>
      </c>
      <c r="D152" s="11">
        <v>30</v>
      </c>
      <c r="E152" s="4">
        <f t="shared" si="20"/>
        <v>29.149406449706554</v>
      </c>
      <c r="F152" s="4">
        <f t="shared" si="21"/>
        <v>28.646774018625443</v>
      </c>
      <c r="G152" s="4">
        <f t="shared" si="26"/>
        <v>29.652038880787664</v>
      </c>
      <c r="H152" s="4">
        <f t="shared" si="23"/>
        <v>0.33508828738740709</v>
      </c>
      <c r="I152" s="4">
        <f t="shared" si="24"/>
        <v>29.033441335521296</v>
      </c>
      <c r="J152" s="4">
        <f t="shared" si="25"/>
        <v>3.2218622149290138E-2</v>
      </c>
      <c r="K152" s="4">
        <v>3.2218622149290138E-2</v>
      </c>
    </row>
    <row r="153" spans="2:11" x14ac:dyDescent="0.25">
      <c r="B153" s="2" t="s">
        <v>2</v>
      </c>
      <c r="C153" s="11">
        <v>2023</v>
      </c>
      <c r="D153" s="11">
        <v>30</v>
      </c>
      <c r="E153" s="4">
        <f t="shared" si="20"/>
        <v>29.489643869823933</v>
      </c>
      <c r="F153" s="4">
        <f t="shared" si="21"/>
        <v>28.98392195910484</v>
      </c>
      <c r="G153" s="4">
        <f t="shared" si="26"/>
        <v>29.995365780543025</v>
      </c>
      <c r="H153" s="4">
        <f t="shared" si="23"/>
        <v>0.337147940479395</v>
      </c>
      <c r="I153" s="4">
        <f t="shared" si="24"/>
        <v>29.987127168175071</v>
      </c>
      <c r="J153" s="4">
        <f t="shared" si="25"/>
        <v>4.2909439416429033E-4</v>
      </c>
      <c r="K153" s="4">
        <v>4.2909439416429033E-4</v>
      </c>
    </row>
    <row r="154" spans="2:11" x14ac:dyDescent="0.25">
      <c r="B154" s="2" t="s">
        <v>4</v>
      </c>
      <c r="C154" s="11">
        <v>2023</v>
      </c>
      <c r="D154" s="11">
        <v>28</v>
      </c>
      <c r="E154" s="4">
        <f t="shared" si="20"/>
        <v>28.89378632189436</v>
      </c>
      <c r="F154" s="4">
        <f t="shared" si="21"/>
        <v>28.947867704220648</v>
      </c>
      <c r="G154" s="4">
        <f t="shared" si="26"/>
        <v>28.839704939568072</v>
      </c>
      <c r="H154" s="4">
        <f t="shared" si="23"/>
        <v>-3.6054254884192012E-2</v>
      </c>
      <c r="I154" s="4">
        <f t="shared" si="24"/>
        <v>30.332513721022419</v>
      </c>
      <c r="J154" s="4">
        <f t="shared" si="25"/>
        <v>-8.3304061465086399E-2</v>
      </c>
      <c r="K154" s="4">
        <v>8.3304061465086399E-2</v>
      </c>
    </row>
    <row r="155" spans="2:11" x14ac:dyDescent="0.25">
      <c r="B155" s="2" t="s">
        <v>3</v>
      </c>
      <c r="C155" s="11">
        <v>2023</v>
      </c>
      <c r="D155" s="11">
        <v>26</v>
      </c>
      <c r="E155" s="4">
        <f t="shared" si="20"/>
        <v>27.736271793136616</v>
      </c>
      <c r="F155" s="4">
        <f t="shared" si="21"/>
        <v>28.463229339787038</v>
      </c>
      <c r="G155" s="4">
        <f t="shared" si="26"/>
        <v>27.009314246486195</v>
      </c>
      <c r="H155" s="4">
        <f t="shared" si="23"/>
        <v>-0.48463836443361435</v>
      </c>
      <c r="I155" s="4">
        <f t="shared" si="24"/>
        <v>28.80365068468388</v>
      </c>
      <c r="J155" s="4">
        <f t="shared" si="25"/>
        <v>-0.10783271864168771</v>
      </c>
      <c r="K155" s="4">
        <v>0.107832718641688</v>
      </c>
    </row>
    <row r="156" spans="2:11" x14ac:dyDescent="0.25">
      <c r="B156" s="2" t="s">
        <v>5</v>
      </c>
      <c r="C156" s="11">
        <v>2023</v>
      </c>
      <c r="D156" s="11">
        <v>24</v>
      </c>
      <c r="E156" s="4">
        <f t="shared" si="20"/>
        <v>26.24176307588197</v>
      </c>
      <c r="F156" s="4">
        <f t="shared" si="21"/>
        <v>27.57464283422501</v>
      </c>
      <c r="G156" s="4">
        <f t="shared" si="26"/>
        <v>24.90888331753893</v>
      </c>
      <c r="H156" s="4">
        <f t="shared" si="23"/>
        <v>-0.88858650556202678</v>
      </c>
      <c r="I156" s="4">
        <f t="shared" si="24"/>
        <v>26.524675882052581</v>
      </c>
      <c r="J156" s="4">
        <f t="shared" si="25"/>
        <v>-0.10519482841885752</v>
      </c>
      <c r="K156" s="4">
        <v>0.10519482841885799</v>
      </c>
    </row>
    <row r="157" spans="2:11" x14ac:dyDescent="0.25">
      <c r="B157" s="2" t="s">
        <v>6</v>
      </c>
      <c r="C157" s="11">
        <v>2023</v>
      </c>
      <c r="D157" s="11">
        <v>20</v>
      </c>
      <c r="E157" s="4">
        <f t="shared" si="20"/>
        <v>23.745057845529182</v>
      </c>
      <c r="F157" s="4">
        <f t="shared" si="21"/>
        <v>26.04280883874668</v>
      </c>
      <c r="G157" s="4">
        <f t="shared" si="26"/>
        <v>21.447306852311684</v>
      </c>
      <c r="H157" s="4">
        <f t="shared" si="23"/>
        <v>-1.5318339954783322</v>
      </c>
      <c r="I157" s="4">
        <f t="shared" si="24"/>
        <v>24.020296811976902</v>
      </c>
      <c r="J157" s="4">
        <f t="shared" si="25"/>
        <v>-0.20101484059884508</v>
      </c>
      <c r="K157" s="4">
        <v>0.201014840598845</v>
      </c>
    </row>
    <row r="158" spans="2:11" x14ac:dyDescent="0.25">
      <c r="B158" s="2" t="s">
        <v>7</v>
      </c>
      <c r="C158" s="11">
        <v>2024</v>
      </c>
      <c r="D158" s="11">
        <v>22</v>
      </c>
      <c r="E158" s="4">
        <f t="shared" si="20"/>
        <v>23.047034707317508</v>
      </c>
      <c r="F158" s="4">
        <f t="shared" si="21"/>
        <v>24.84449918617501</v>
      </c>
      <c r="G158" s="4">
        <f t="shared" si="26"/>
        <v>21.249570228460005</v>
      </c>
      <c r="H158" s="4">
        <f t="shared" si="23"/>
        <v>-1.1983096525716685</v>
      </c>
      <c r="I158" s="4">
        <f t="shared" si="24"/>
        <v>19.91547285683335</v>
      </c>
      <c r="J158" s="4">
        <f t="shared" si="25"/>
        <v>9.4751233780302258E-2</v>
      </c>
      <c r="K158" s="4">
        <v>9.4751233780302258E-2</v>
      </c>
    </row>
    <row r="159" spans="2:11" x14ac:dyDescent="0.25">
      <c r="B159" s="2" t="s">
        <v>8</v>
      </c>
      <c r="C159" s="11">
        <v>2024</v>
      </c>
      <c r="D159" s="11">
        <v>19</v>
      </c>
      <c r="E159" s="4">
        <f t="shared" si="20"/>
        <v>21.428220824390504</v>
      </c>
      <c r="F159" s="4">
        <f t="shared" si="21"/>
        <v>23.477987841461207</v>
      </c>
      <c r="G159" s="4">
        <f t="shared" si="26"/>
        <v>19.378453807319801</v>
      </c>
      <c r="H159" s="4">
        <f t="shared" si="23"/>
        <v>-1.3665113447138022</v>
      </c>
      <c r="I159" s="4">
        <f t="shared" si="24"/>
        <v>20.051260575888335</v>
      </c>
      <c r="J159" s="4">
        <f t="shared" si="25"/>
        <v>-5.5329503994122911E-2</v>
      </c>
      <c r="K159" s="4">
        <v>5.5329503994122897E-2</v>
      </c>
    </row>
    <row r="160" spans="2:11" x14ac:dyDescent="0.25">
      <c r="B160" s="2" t="s">
        <v>9</v>
      </c>
      <c r="C160" s="11">
        <v>2024</v>
      </c>
      <c r="D160" s="11">
        <v>31</v>
      </c>
      <c r="E160" s="4">
        <f t="shared" si="20"/>
        <v>25.256932494634302</v>
      </c>
      <c r="F160" s="4">
        <f t="shared" si="21"/>
        <v>24.189565702730444</v>
      </c>
      <c r="G160" s="4">
        <f t="shared" si="26"/>
        <v>26.32429928653816</v>
      </c>
      <c r="H160" s="4">
        <f t="shared" si="23"/>
        <v>0.71157786126923861</v>
      </c>
      <c r="I160" s="4">
        <f t="shared" si="24"/>
        <v>18.011942462605997</v>
      </c>
      <c r="J160" s="4">
        <f t="shared" si="25"/>
        <v>0.41896959798045169</v>
      </c>
      <c r="K160" s="4">
        <v>0.41896959798045169</v>
      </c>
    </row>
    <row r="161" spans="2:14" x14ac:dyDescent="0.25">
      <c r="B161" s="2" t="s">
        <v>10</v>
      </c>
      <c r="C161" s="11">
        <v>2024</v>
      </c>
      <c r="D161" s="11">
        <v>34</v>
      </c>
      <c r="E161" s="4">
        <f t="shared" si="20"/>
        <v>28.754159496780581</v>
      </c>
      <c r="F161" s="4">
        <f t="shared" si="21"/>
        <v>26.0154032203505</v>
      </c>
      <c r="G161" s="4">
        <f t="shared" si="26"/>
        <v>31.492915773210662</v>
      </c>
      <c r="H161" s="4">
        <f t="shared" si="23"/>
        <v>1.8258375176200543</v>
      </c>
      <c r="I161" s="4">
        <f t="shared" si="24"/>
        <v>27.035877147807398</v>
      </c>
      <c r="J161" s="4">
        <f t="shared" si="25"/>
        <v>0.20482714271154712</v>
      </c>
      <c r="K161" s="4">
        <v>0.20482714271154712</v>
      </c>
    </row>
    <row r="162" spans="2:14" x14ac:dyDescent="0.25">
      <c r="B162" s="2" t="s">
        <v>11</v>
      </c>
      <c r="C162" s="11">
        <v>2024</v>
      </c>
      <c r="D162" s="11">
        <v>36</v>
      </c>
      <c r="E162" s="4">
        <f t="shared" si="20"/>
        <v>31.65249569806835</v>
      </c>
      <c r="F162" s="4">
        <f t="shared" si="21"/>
        <v>28.270240211437638</v>
      </c>
      <c r="G162" s="4">
        <f t="shared" si="26"/>
        <v>35.034751184699061</v>
      </c>
      <c r="H162" s="4">
        <f t="shared" si="23"/>
        <v>2.2548369910871413</v>
      </c>
      <c r="I162" s="4">
        <f t="shared" si="24"/>
        <v>33.318753290830713</v>
      </c>
      <c r="J162" s="4">
        <f t="shared" si="25"/>
        <v>7.4479075254702404E-2</v>
      </c>
      <c r="K162" s="4">
        <v>7.4479075254702404E-2</v>
      </c>
    </row>
    <row r="163" spans="2:14" x14ac:dyDescent="0.25">
      <c r="B163" s="2" t="s">
        <v>12</v>
      </c>
      <c r="C163" s="11">
        <v>2024</v>
      </c>
      <c r="D163" s="11">
        <v>38</v>
      </c>
      <c r="E163" s="4">
        <f t="shared" si="20"/>
        <v>34.19149741884101</v>
      </c>
      <c r="F163" s="4">
        <f t="shared" si="21"/>
        <v>30.63874309439899</v>
      </c>
      <c r="G163" s="4">
        <f t="shared" si="26"/>
        <v>37.74425174328303</v>
      </c>
      <c r="H163" s="4">
        <f t="shared" si="23"/>
        <v>2.368502882961347</v>
      </c>
      <c r="I163" s="4">
        <f t="shared" si="24"/>
        <v>37.2895881757862</v>
      </c>
      <c r="J163" s="4">
        <f t="shared" si="25"/>
        <v>1.8695048005626314E-2</v>
      </c>
      <c r="K163" s="4">
        <v>1.8695048005626314E-2</v>
      </c>
    </row>
    <row r="164" spans="2:14" x14ac:dyDescent="0.25">
      <c r="B164" s="2" t="s">
        <v>13</v>
      </c>
      <c r="C164" s="12">
        <v>2024</v>
      </c>
      <c r="D164" s="12">
        <v>40</v>
      </c>
      <c r="E164" s="4">
        <f t="shared" si="20"/>
        <v>36.514898451304603</v>
      </c>
      <c r="F164" s="4">
        <f t="shared" si="21"/>
        <v>32.989205237161237</v>
      </c>
      <c r="G164" s="4">
        <f t="shared" si="26"/>
        <v>40.04059166544797</v>
      </c>
      <c r="H164" s="4">
        <f t="shared" si="23"/>
        <v>2.3504621427622445</v>
      </c>
      <c r="I164" s="4">
        <f t="shared" si="24"/>
        <v>40.112754626244374</v>
      </c>
      <c r="J164" s="4">
        <f t="shared" si="25"/>
        <v>-2.8188656561093594E-3</v>
      </c>
      <c r="K164" s="4">
        <v>2.8188656561093598E-3</v>
      </c>
    </row>
    <row r="165" spans="2:14" x14ac:dyDescent="0.25">
      <c r="B165" s="8" t="s">
        <v>2</v>
      </c>
      <c r="C165" s="13">
        <v>2024</v>
      </c>
      <c r="D165" s="8"/>
      <c r="E165" s="10"/>
      <c r="F165" s="10"/>
      <c r="G165" s="10"/>
      <c r="H165" s="10"/>
      <c r="I165" s="9">
        <f t="shared" si="24"/>
        <v>42.391053808210216</v>
      </c>
      <c r="J165" s="14" t="s">
        <v>21</v>
      </c>
      <c r="K165" s="10">
        <f>100/36*SUM(K130:K164)</f>
        <v>9.918203030667593</v>
      </c>
    </row>
    <row r="170" spans="2:14" x14ac:dyDescent="0.25">
      <c r="B170" s="3" t="s">
        <v>0</v>
      </c>
      <c r="C170" s="3" t="s">
        <v>1</v>
      </c>
      <c r="D170" s="3" t="s">
        <v>22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18</v>
      </c>
      <c r="J170" s="3" t="s">
        <v>19</v>
      </c>
      <c r="K170" s="3" t="s">
        <v>20</v>
      </c>
      <c r="N170" s="7">
        <v>0.3</v>
      </c>
    </row>
    <row r="171" spans="2:14" x14ac:dyDescent="0.25">
      <c r="B171" s="2" t="s">
        <v>2</v>
      </c>
      <c r="C171" s="2">
        <v>2021</v>
      </c>
      <c r="D171" s="2">
        <v>27</v>
      </c>
      <c r="E171" s="2">
        <v>27</v>
      </c>
      <c r="F171" s="2">
        <v>27</v>
      </c>
      <c r="G171" s="2">
        <v>27</v>
      </c>
      <c r="H171" s="2">
        <v>0</v>
      </c>
      <c r="I171" s="5"/>
      <c r="J171" s="5"/>
      <c r="K171" s="5"/>
      <c r="N171" s="7">
        <v>0.7</v>
      </c>
    </row>
    <row r="172" spans="2:14" x14ac:dyDescent="0.25">
      <c r="B172" s="2" t="s">
        <v>4</v>
      </c>
      <c r="C172" s="2">
        <v>2021</v>
      </c>
      <c r="D172" s="2">
        <v>24</v>
      </c>
      <c r="E172" s="4">
        <f>($N$170)*D172+($N$171)*E171</f>
        <v>26.099999999999998</v>
      </c>
      <c r="F172" s="4">
        <f>($N$170)*E172+($N$171)*F171</f>
        <v>26.729999999999997</v>
      </c>
      <c r="G172" s="4">
        <f>2*(E172)-(F172)</f>
        <v>25.47</v>
      </c>
      <c r="H172" s="4">
        <f>$N$170/$N$171*(E172-F172)</f>
        <v>-0.26999999999999957</v>
      </c>
      <c r="I172" s="4">
        <f>G171+H171</f>
        <v>27</v>
      </c>
      <c r="J172" s="4">
        <f>(D172-I172)/D172</f>
        <v>-0.125</v>
      </c>
      <c r="K172" s="4">
        <v>0.125</v>
      </c>
    </row>
    <row r="173" spans="2:14" x14ac:dyDescent="0.25">
      <c r="B173" s="2" t="s">
        <v>3</v>
      </c>
      <c r="C173" s="2">
        <v>2021</v>
      </c>
      <c r="D173" s="2">
        <v>22</v>
      </c>
      <c r="E173" s="4">
        <f t="shared" ref="E173:E206" si="27">($N$170)*D173+($N$171)*E172</f>
        <v>24.869999999999997</v>
      </c>
      <c r="F173" s="4">
        <f t="shared" ref="F173:F206" si="28">($N$170)*E173+($N$171)*F172</f>
        <v>26.171999999999993</v>
      </c>
      <c r="G173" s="4">
        <f t="shared" ref="G173:G181" si="29">2*(E173)-(F173)</f>
        <v>23.568000000000001</v>
      </c>
      <c r="H173" s="4">
        <f t="shared" ref="H173:H206" si="30">$N$170/$N$171*(E173-F173)</f>
        <v>-0.55799999999999839</v>
      </c>
      <c r="I173" s="4">
        <f>G172+H172</f>
        <v>25.2</v>
      </c>
      <c r="J173" s="4">
        <f>(D173-I173)/D173</f>
        <v>-0.14545454545454542</v>
      </c>
      <c r="K173" s="4">
        <v>0.145454545454545</v>
      </c>
    </row>
    <row r="174" spans="2:14" x14ac:dyDescent="0.25">
      <c r="B174" s="2" t="s">
        <v>5</v>
      </c>
      <c r="C174" s="2">
        <v>2021</v>
      </c>
      <c r="D174" s="2">
        <v>19</v>
      </c>
      <c r="E174" s="4">
        <f t="shared" si="27"/>
        <v>23.108999999999995</v>
      </c>
      <c r="F174" s="4">
        <f t="shared" si="28"/>
        <v>25.253099999999993</v>
      </c>
      <c r="G174" s="4">
        <f t="shared" si="29"/>
        <v>20.964899999999997</v>
      </c>
      <c r="H174" s="4">
        <f t="shared" si="30"/>
        <v>-0.91889999999999927</v>
      </c>
      <c r="I174" s="4">
        <f t="shared" ref="I174:I207" si="31">G173+H173</f>
        <v>23.01</v>
      </c>
      <c r="J174" s="4">
        <f t="shared" ref="J174:J206" si="32">(D174-I174)/D174</f>
        <v>-0.21105263157894746</v>
      </c>
      <c r="K174" s="4">
        <v>0.21105263157894699</v>
      </c>
    </row>
    <row r="175" spans="2:14" x14ac:dyDescent="0.25">
      <c r="B175" s="2" t="s">
        <v>6</v>
      </c>
      <c r="C175" s="2">
        <v>2021</v>
      </c>
      <c r="D175" s="2">
        <v>18</v>
      </c>
      <c r="E175" s="4">
        <f t="shared" si="27"/>
        <v>21.576299999999993</v>
      </c>
      <c r="F175" s="4">
        <f t="shared" si="28"/>
        <v>24.150059999999989</v>
      </c>
      <c r="G175" s="4">
        <f t="shared" si="29"/>
        <v>19.002539999999996</v>
      </c>
      <c r="H175" s="4">
        <f t="shared" si="30"/>
        <v>-1.1030399999999987</v>
      </c>
      <c r="I175" s="4">
        <f t="shared" si="31"/>
        <v>20.045999999999996</v>
      </c>
      <c r="J175" s="4">
        <f t="shared" si="32"/>
        <v>-0.11366666666666643</v>
      </c>
      <c r="K175" s="4">
        <v>0.113666666666666</v>
      </c>
    </row>
    <row r="176" spans="2:14" x14ac:dyDescent="0.25">
      <c r="B176" s="2" t="s">
        <v>7</v>
      </c>
      <c r="C176" s="2">
        <v>2021</v>
      </c>
      <c r="D176" s="2">
        <v>18</v>
      </c>
      <c r="E176" s="4">
        <f t="shared" si="27"/>
        <v>20.503409999999992</v>
      </c>
      <c r="F176" s="4">
        <f t="shared" si="28"/>
        <v>23.05606499999999</v>
      </c>
      <c r="G176" s="4">
        <f t="shared" si="29"/>
        <v>17.950754999999994</v>
      </c>
      <c r="H176" s="4">
        <f t="shared" si="30"/>
        <v>-1.0939949999999992</v>
      </c>
      <c r="I176" s="4">
        <f t="shared" si="31"/>
        <v>17.899499999999996</v>
      </c>
      <c r="J176" s="4">
        <f t="shared" si="32"/>
        <v>5.583333333333545E-3</v>
      </c>
      <c r="K176" s="4">
        <v>5.583333333333545E-3</v>
      </c>
    </row>
    <row r="177" spans="2:11" x14ac:dyDescent="0.25">
      <c r="B177" s="2" t="s">
        <v>8</v>
      </c>
      <c r="C177" s="2">
        <v>2021</v>
      </c>
      <c r="D177" s="2">
        <v>15</v>
      </c>
      <c r="E177" s="4">
        <f t="shared" si="27"/>
        <v>18.852386999999993</v>
      </c>
      <c r="F177" s="4">
        <f t="shared" si="28"/>
        <v>21.794961599999986</v>
      </c>
      <c r="G177" s="4">
        <f t="shared" si="29"/>
        <v>15.9098124</v>
      </c>
      <c r="H177" s="4">
        <f t="shared" si="30"/>
        <v>-1.2611033999999972</v>
      </c>
      <c r="I177" s="4">
        <f t="shared" si="31"/>
        <v>16.856759999999994</v>
      </c>
      <c r="J177" s="4">
        <f t="shared" si="32"/>
        <v>-0.12378399999999962</v>
      </c>
      <c r="K177" s="4">
        <v>0.12378400000000001</v>
      </c>
    </row>
    <row r="178" spans="2:11" x14ac:dyDescent="0.25">
      <c r="B178" s="2" t="s">
        <v>9</v>
      </c>
      <c r="C178" s="2">
        <v>2022</v>
      </c>
      <c r="D178" s="2">
        <v>20</v>
      </c>
      <c r="E178" s="4">
        <f t="shared" si="27"/>
        <v>19.196670899999994</v>
      </c>
      <c r="F178" s="4">
        <f t="shared" si="28"/>
        <v>21.015474389999987</v>
      </c>
      <c r="G178" s="4">
        <f t="shared" si="29"/>
        <v>17.37786741</v>
      </c>
      <c r="H178" s="4">
        <f t="shared" si="30"/>
        <v>-0.77948720999999721</v>
      </c>
      <c r="I178" s="4">
        <f t="shared" si="31"/>
        <v>14.648709000000002</v>
      </c>
      <c r="J178" s="4">
        <f t="shared" si="32"/>
        <v>0.2675645499999999</v>
      </c>
      <c r="K178" s="4">
        <v>0.2675645499999999</v>
      </c>
    </row>
    <row r="179" spans="2:11" x14ac:dyDescent="0.25">
      <c r="B179" s="2" t="s">
        <v>10</v>
      </c>
      <c r="C179" s="2">
        <v>2022</v>
      </c>
      <c r="D179" s="2">
        <v>22</v>
      </c>
      <c r="E179" s="4">
        <f t="shared" si="27"/>
        <v>20.037669629999996</v>
      </c>
      <c r="F179" s="4">
        <f t="shared" si="28"/>
        <v>20.722132961999989</v>
      </c>
      <c r="G179" s="4">
        <f t="shared" si="29"/>
        <v>19.353206298000003</v>
      </c>
      <c r="H179" s="4">
        <f t="shared" si="30"/>
        <v>-0.29334142799999696</v>
      </c>
      <c r="I179" s="4">
        <f>G178+H178</f>
        <v>16.598380200000005</v>
      </c>
      <c r="J179" s="4">
        <f t="shared" si="32"/>
        <v>0.24552817272727251</v>
      </c>
      <c r="K179" s="4">
        <v>0.24552817272727251</v>
      </c>
    </row>
    <row r="180" spans="2:11" x14ac:dyDescent="0.25">
      <c r="B180" s="2" t="s">
        <v>11</v>
      </c>
      <c r="C180" s="2">
        <v>2022</v>
      </c>
      <c r="D180" s="2">
        <v>26</v>
      </c>
      <c r="E180" s="4">
        <f t="shared" si="27"/>
        <v>21.826368740999996</v>
      </c>
      <c r="F180" s="4">
        <f t="shared" si="28"/>
        <v>21.053403695699991</v>
      </c>
      <c r="G180" s="4">
        <f t="shared" si="29"/>
        <v>22.599333786300001</v>
      </c>
      <c r="H180" s="4">
        <f t="shared" si="30"/>
        <v>0.33127073370000204</v>
      </c>
      <c r="I180" s="4">
        <f t="shared" si="31"/>
        <v>19.059864870000006</v>
      </c>
      <c r="J180" s="4">
        <f t="shared" si="32"/>
        <v>0.26692827423076904</v>
      </c>
      <c r="K180" s="4">
        <v>0.26692827423076904</v>
      </c>
    </row>
    <row r="181" spans="2:11" x14ac:dyDescent="0.25">
      <c r="B181" s="2" t="s">
        <v>12</v>
      </c>
      <c r="C181" s="2">
        <v>2022</v>
      </c>
      <c r="D181" s="2">
        <v>26</v>
      </c>
      <c r="E181" s="4">
        <f t="shared" si="27"/>
        <v>23.078458118699995</v>
      </c>
      <c r="F181" s="4">
        <f t="shared" si="28"/>
        <v>21.660920022599992</v>
      </c>
      <c r="G181" s="4">
        <f t="shared" si="29"/>
        <v>24.495996214799998</v>
      </c>
      <c r="H181" s="4">
        <f t="shared" si="30"/>
        <v>0.60751632690000135</v>
      </c>
      <c r="I181" s="4">
        <f t="shared" si="31"/>
        <v>22.930604520000003</v>
      </c>
      <c r="J181" s="4">
        <f t="shared" si="32"/>
        <v>0.1180536723076922</v>
      </c>
      <c r="K181" s="4">
        <v>0.1180536723076922</v>
      </c>
    </row>
    <row r="182" spans="2:11" x14ac:dyDescent="0.25">
      <c r="B182" s="2" t="s">
        <v>13</v>
      </c>
      <c r="C182" s="2">
        <v>2022</v>
      </c>
      <c r="D182" s="2">
        <v>28</v>
      </c>
      <c r="E182" s="4">
        <f t="shared" si="27"/>
        <v>24.554920683089996</v>
      </c>
      <c r="F182" s="4">
        <f t="shared" si="28"/>
        <v>22.529120220746989</v>
      </c>
      <c r="G182" s="4">
        <f>2*(E182)-(F182)</f>
        <v>26.580721145433003</v>
      </c>
      <c r="H182" s="4">
        <f t="shared" si="30"/>
        <v>0.868200198147003</v>
      </c>
      <c r="I182" s="4">
        <f t="shared" si="31"/>
        <v>25.103512541699999</v>
      </c>
      <c r="J182" s="4">
        <f t="shared" si="32"/>
        <v>0.10344598065357147</v>
      </c>
      <c r="K182" s="4">
        <v>0.10344598065357147</v>
      </c>
    </row>
    <row r="183" spans="2:11" x14ac:dyDescent="0.25">
      <c r="B183" s="2" t="s">
        <v>2</v>
      </c>
      <c r="C183" s="2">
        <v>2022</v>
      </c>
      <c r="D183" s="11">
        <v>30</v>
      </c>
      <c r="E183" s="4">
        <f t="shared" si="27"/>
        <v>26.188444478162996</v>
      </c>
      <c r="F183" s="4">
        <f t="shared" si="28"/>
        <v>23.626917497971789</v>
      </c>
      <c r="G183" s="4">
        <f t="shared" ref="G183:G206" si="33">2*(E183)-(F183)</f>
        <v>28.749971458354203</v>
      </c>
      <c r="H183" s="4">
        <f t="shared" si="30"/>
        <v>1.097797277224803</v>
      </c>
      <c r="I183" s="4">
        <f t="shared" si="31"/>
        <v>27.448921343580007</v>
      </c>
      <c r="J183" s="4">
        <f t="shared" si="32"/>
        <v>8.5035955213999745E-2</v>
      </c>
      <c r="K183" s="4">
        <v>8.5035955213999745E-2</v>
      </c>
    </row>
    <row r="184" spans="2:11" x14ac:dyDescent="0.25">
      <c r="B184" s="2" t="s">
        <v>4</v>
      </c>
      <c r="C184" s="2">
        <v>2022</v>
      </c>
      <c r="D184" s="11">
        <v>33</v>
      </c>
      <c r="E184" s="4">
        <f t="shared" si="27"/>
        <v>28.231911134714096</v>
      </c>
      <c r="F184" s="4">
        <f t="shared" si="28"/>
        <v>25.008415588994481</v>
      </c>
      <c r="G184" s="4">
        <f t="shared" si="33"/>
        <v>31.455406680433711</v>
      </c>
      <c r="H184" s="4">
        <f t="shared" si="30"/>
        <v>1.3814980910226922</v>
      </c>
      <c r="I184" s="4">
        <f t="shared" si="31"/>
        <v>29.847768735579006</v>
      </c>
      <c r="J184" s="4">
        <f t="shared" si="32"/>
        <v>9.5522159527908906E-2</v>
      </c>
      <c r="K184" s="4">
        <v>9.5522159527908906E-2</v>
      </c>
    </row>
    <row r="185" spans="2:11" x14ac:dyDescent="0.25">
      <c r="B185" s="2" t="s">
        <v>3</v>
      </c>
      <c r="C185" s="2">
        <v>2022</v>
      </c>
      <c r="D185" s="11">
        <v>31</v>
      </c>
      <c r="E185" s="4">
        <f t="shared" si="27"/>
        <v>29.062337794299864</v>
      </c>
      <c r="F185" s="4">
        <f t="shared" si="28"/>
        <v>26.224592250586092</v>
      </c>
      <c r="G185" s="4">
        <f t="shared" si="33"/>
        <v>31.900083338013637</v>
      </c>
      <c r="H185" s="4">
        <f t="shared" si="30"/>
        <v>1.216176661591617</v>
      </c>
      <c r="I185" s="4">
        <f t="shared" si="31"/>
        <v>32.836904771456403</v>
      </c>
      <c r="J185" s="4">
        <f t="shared" si="32"/>
        <v>-5.9254992627625916E-2</v>
      </c>
      <c r="K185" s="4">
        <v>5.9254992627625902E-2</v>
      </c>
    </row>
    <row r="186" spans="2:11" x14ac:dyDescent="0.25">
      <c r="B186" s="2" t="s">
        <v>5</v>
      </c>
      <c r="C186" s="2">
        <v>2022</v>
      </c>
      <c r="D186" s="11">
        <v>30</v>
      </c>
      <c r="E186" s="4">
        <f t="shared" si="27"/>
        <v>29.343636456009904</v>
      </c>
      <c r="F186" s="4">
        <f t="shared" si="28"/>
        <v>27.160305512213235</v>
      </c>
      <c r="G186" s="4">
        <f t="shared" si="33"/>
        <v>31.526967399806573</v>
      </c>
      <c r="H186" s="4">
        <f t="shared" si="30"/>
        <v>0.93571326162714397</v>
      </c>
      <c r="I186" s="4">
        <f t="shared" si="31"/>
        <v>33.116259999605255</v>
      </c>
      <c r="J186" s="4">
        <f t="shared" si="32"/>
        <v>-0.10387533332017516</v>
      </c>
      <c r="K186" s="4">
        <v>0.103875333320175</v>
      </c>
    </row>
    <row r="187" spans="2:11" x14ac:dyDescent="0.25">
      <c r="B187" s="2" t="s">
        <v>6</v>
      </c>
      <c r="C187" s="2">
        <v>2022</v>
      </c>
      <c r="D187" s="11">
        <v>29</v>
      </c>
      <c r="E187" s="4">
        <f t="shared" si="27"/>
        <v>29.240545519206929</v>
      </c>
      <c r="F187" s="4">
        <f t="shared" si="28"/>
        <v>27.784377514311341</v>
      </c>
      <c r="G187" s="4">
        <f t="shared" si="33"/>
        <v>30.696713524102517</v>
      </c>
      <c r="H187" s="4">
        <f t="shared" si="30"/>
        <v>0.62407200209810909</v>
      </c>
      <c r="I187" s="4">
        <f t="shared" si="31"/>
        <v>32.462680661433716</v>
      </c>
      <c r="J187" s="4">
        <f t="shared" si="32"/>
        <v>-0.11940278142874881</v>
      </c>
      <c r="K187" s="4">
        <v>0.11940278142874899</v>
      </c>
    </row>
    <row r="188" spans="2:11" x14ac:dyDescent="0.25">
      <c r="B188" s="2" t="s">
        <v>7</v>
      </c>
      <c r="C188" s="2">
        <v>2022</v>
      </c>
      <c r="D188" s="11">
        <v>27</v>
      </c>
      <c r="E188" s="4">
        <f t="shared" si="27"/>
        <v>28.568381863444849</v>
      </c>
      <c r="F188" s="4">
        <f t="shared" si="28"/>
        <v>28.019578819051389</v>
      </c>
      <c r="G188" s="4">
        <f t="shared" si="33"/>
        <v>29.117184907838308</v>
      </c>
      <c r="H188" s="4">
        <f t="shared" si="30"/>
        <v>0.23520130474005391</v>
      </c>
      <c r="I188" s="4">
        <f t="shared" si="31"/>
        <v>31.320785526200627</v>
      </c>
      <c r="J188" s="4">
        <f t="shared" si="32"/>
        <v>-0.1600290935629862</v>
      </c>
      <c r="K188" s="4">
        <v>0.160029093562986</v>
      </c>
    </row>
    <row r="189" spans="2:11" x14ac:dyDescent="0.25">
      <c r="B189" s="2" t="s">
        <v>8</v>
      </c>
      <c r="C189" s="2">
        <v>2022</v>
      </c>
      <c r="D189" s="11">
        <v>26</v>
      </c>
      <c r="E189" s="4">
        <f t="shared" si="27"/>
        <v>27.797867304411394</v>
      </c>
      <c r="F189" s="4">
        <f t="shared" si="28"/>
        <v>27.953065364659391</v>
      </c>
      <c r="G189" s="4">
        <f t="shared" si="33"/>
        <v>27.642669244163397</v>
      </c>
      <c r="H189" s="4">
        <f t="shared" si="30"/>
        <v>-6.6513454391998808E-2</v>
      </c>
      <c r="I189" s="4">
        <f t="shared" si="31"/>
        <v>29.352386212578363</v>
      </c>
      <c r="J189" s="4">
        <f t="shared" si="32"/>
        <v>-0.12893793125301395</v>
      </c>
      <c r="K189" s="4">
        <v>0.128937931253014</v>
      </c>
    </row>
    <row r="190" spans="2:11" x14ac:dyDescent="0.25">
      <c r="B190" s="2" t="s">
        <v>9</v>
      </c>
      <c r="C190" s="11">
        <v>2023</v>
      </c>
      <c r="D190" s="11">
        <v>28</v>
      </c>
      <c r="E190" s="4">
        <f t="shared" si="27"/>
        <v>27.858507113087974</v>
      </c>
      <c r="F190" s="4">
        <f t="shared" si="28"/>
        <v>27.924697889187968</v>
      </c>
      <c r="G190" s="4">
        <f t="shared" si="33"/>
        <v>27.79231633698798</v>
      </c>
      <c r="H190" s="4">
        <f t="shared" si="30"/>
        <v>-2.8367475471425915E-2</v>
      </c>
      <c r="I190" s="4">
        <f t="shared" si="31"/>
        <v>27.576155789771398</v>
      </c>
      <c r="J190" s="4">
        <f t="shared" si="32"/>
        <v>1.5137293222450054E-2</v>
      </c>
      <c r="K190" s="4">
        <v>1.5137293222450054E-2</v>
      </c>
    </row>
    <row r="191" spans="2:11" x14ac:dyDescent="0.25">
      <c r="B191" s="2" t="s">
        <v>10</v>
      </c>
      <c r="C191" s="11">
        <v>2023</v>
      </c>
      <c r="D191" s="11">
        <v>28</v>
      </c>
      <c r="E191" s="4">
        <f t="shared" si="27"/>
        <v>27.900954979161583</v>
      </c>
      <c r="F191" s="4">
        <f t="shared" si="28"/>
        <v>27.917575016180052</v>
      </c>
      <c r="G191" s="4">
        <f t="shared" si="33"/>
        <v>27.884334942143113</v>
      </c>
      <c r="H191" s="4">
        <f t="shared" si="30"/>
        <v>-7.1228730079155875E-3</v>
      </c>
      <c r="I191" s="4">
        <f t="shared" si="31"/>
        <v>27.763948861516553</v>
      </c>
      <c r="J191" s="4">
        <f t="shared" si="32"/>
        <v>8.4303978029802405E-3</v>
      </c>
      <c r="K191" s="4">
        <v>8.4303978029802405E-3</v>
      </c>
    </row>
    <row r="192" spans="2:11" x14ac:dyDescent="0.25">
      <c r="B192" s="2" t="s">
        <v>11</v>
      </c>
      <c r="C192" s="11">
        <v>2023</v>
      </c>
      <c r="D192" s="11">
        <v>29</v>
      </c>
      <c r="E192" s="4">
        <f t="shared" si="27"/>
        <v>28.230668485413105</v>
      </c>
      <c r="F192" s="4">
        <f t="shared" si="28"/>
        <v>28.011503056949966</v>
      </c>
      <c r="G192" s="4">
        <f t="shared" si="33"/>
        <v>28.449833913876244</v>
      </c>
      <c r="H192" s="4">
        <f t="shared" si="30"/>
        <v>9.3928040769916732E-2</v>
      </c>
      <c r="I192" s="4">
        <f t="shared" si="31"/>
        <v>27.877212069135197</v>
      </c>
      <c r="J192" s="4">
        <f t="shared" si="32"/>
        <v>3.871682520223458E-2</v>
      </c>
      <c r="K192" s="4">
        <v>3.871682520223458E-2</v>
      </c>
    </row>
    <row r="193" spans="2:11" x14ac:dyDescent="0.25">
      <c r="B193" s="2" t="s">
        <v>12</v>
      </c>
      <c r="C193" s="11">
        <v>2023</v>
      </c>
      <c r="D193" s="11">
        <v>29</v>
      </c>
      <c r="E193" s="4">
        <f t="shared" si="27"/>
        <v>28.46146793978917</v>
      </c>
      <c r="F193" s="4">
        <f t="shared" si="28"/>
        <v>28.146492521801726</v>
      </c>
      <c r="G193" s="4">
        <f t="shared" si="33"/>
        <v>28.776443357776614</v>
      </c>
      <c r="H193" s="4">
        <f t="shared" si="30"/>
        <v>0.13498946485176183</v>
      </c>
      <c r="I193" s="4">
        <f t="shared" si="31"/>
        <v>28.543761954646161</v>
      </c>
      <c r="J193" s="4">
        <f t="shared" si="32"/>
        <v>1.5732346391511685E-2</v>
      </c>
      <c r="K193" s="4">
        <v>1.5732346391511685E-2</v>
      </c>
    </row>
    <row r="194" spans="2:11" x14ac:dyDescent="0.25">
      <c r="B194" s="2" t="s">
        <v>13</v>
      </c>
      <c r="C194" s="11">
        <v>2023</v>
      </c>
      <c r="D194" s="11">
        <v>30</v>
      </c>
      <c r="E194" s="4">
        <f t="shared" si="27"/>
        <v>28.923027557852418</v>
      </c>
      <c r="F194" s="4">
        <f t="shared" si="28"/>
        <v>28.379453032616929</v>
      </c>
      <c r="G194" s="4">
        <f t="shared" si="33"/>
        <v>29.466602083087906</v>
      </c>
      <c r="H194" s="4">
        <f t="shared" si="30"/>
        <v>0.23296051081520935</v>
      </c>
      <c r="I194" s="4">
        <f t="shared" si="31"/>
        <v>28.911432822628377</v>
      </c>
      <c r="J194" s="4">
        <f t="shared" si="32"/>
        <v>3.6285572579054085E-2</v>
      </c>
      <c r="K194" s="4">
        <v>3.6285572579054085E-2</v>
      </c>
    </row>
    <row r="195" spans="2:11" x14ac:dyDescent="0.25">
      <c r="B195" s="2" t="s">
        <v>2</v>
      </c>
      <c r="C195" s="11">
        <v>2023</v>
      </c>
      <c r="D195" s="11">
        <v>30</v>
      </c>
      <c r="E195" s="4">
        <f t="shared" si="27"/>
        <v>29.24611929049669</v>
      </c>
      <c r="F195" s="4">
        <f t="shared" si="28"/>
        <v>28.639452909980857</v>
      </c>
      <c r="G195" s="4">
        <f t="shared" si="33"/>
        <v>29.852785671012523</v>
      </c>
      <c r="H195" s="4">
        <f t="shared" si="30"/>
        <v>0.25999987736392832</v>
      </c>
      <c r="I195" s="4">
        <f t="shared" si="31"/>
        <v>29.699562593903117</v>
      </c>
      <c r="J195" s="4">
        <f t="shared" si="32"/>
        <v>1.0014580203229428E-2</v>
      </c>
      <c r="K195" s="4">
        <v>1.0014580203229428E-2</v>
      </c>
    </row>
    <row r="196" spans="2:11" x14ac:dyDescent="0.25">
      <c r="B196" s="2" t="s">
        <v>4</v>
      </c>
      <c r="C196" s="11">
        <v>2023</v>
      </c>
      <c r="D196" s="11">
        <v>28</v>
      </c>
      <c r="E196" s="4">
        <f t="shared" si="27"/>
        <v>28.872283503347681</v>
      </c>
      <c r="F196" s="4">
        <f t="shared" si="28"/>
        <v>28.709302087990899</v>
      </c>
      <c r="G196" s="4">
        <f t="shared" si="33"/>
        <v>29.035264918704463</v>
      </c>
      <c r="H196" s="4">
        <f t="shared" si="30"/>
        <v>6.9849178010049487E-2</v>
      </c>
      <c r="I196" s="4">
        <f t="shared" si="31"/>
        <v>30.112785548376451</v>
      </c>
      <c r="J196" s="4">
        <f t="shared" si="32"/>
        <v>-7.5456626727730375E-2</v>
      </c>
      <c r="K196" s="4">
        <v>7.5456626727730403E-2</v>
      </c>
    </row>
    <row r="197" spans="2:11" x14ac:dyDescent="0.25">
      <c r="B197" s="2" t="s">
        <v>3</v>
      </c>
      <c r="C197" s="11">
        <v>2023</v>
      </c>
      <c r="D197" s="11">
        <v>26</v>
      </c>
      <c r="E197" s="4">
        <f t="shared" si="27"/>
        <v>28.010598452343377</v>
      </c>
      <c r="F197" s="4">
        <f t="shared" si="28"/>
        <v>28.499690997296639</v>
      </c>
      <c r="G197" s="4">
        <f t="shared" si="33"/>
        <v>27.521505907390114</v>
      </c>
      <c r="H197" s="4">
        <f t="shared" si="30"/>
        <v>-0.20961109069425532</v>
      </c>
      <c r="I197" s="4">
        <f t="shared" si="31"/>
        <v>29.105114096714512</v>
      </c>
      <c r="J197" s="4">
        <f t="shared" si="32"/>
        <v>-0.11942746525825047</v>
      </c>
      <c r="K197" s="4">
        <v>0.11942746525825</v>
      </c>
    </row>
    <row r="198" spans="2:11" x14ac:dyDescent="0.25">
      <c r="B198" s="2" t="s">
        <v>5</v>
      </c>
      <c r="C198" s="11">
        <v>2023</v>
      </c>
      <c r="D198" s="11">
        <v>24</v>
      </c>
      <c r="E198" s="4">
        <f t="shared" si="27"/>
        <v>26.807418916640362</v>
      </c>
      <c r="F198" s="4">
        <f t="shared" si="28"/>
        <v>27.992009373099755</v>
      </c>
      <c r="G198" s="4">
        <f t="shared" si="33"/>
        <v>25.622828460180969</v>
      </c>
      <c r="H198" s="4">
        <f t="shared" si="30"/>
        <v>-0.50768162419688279</v>
      </c>
      <c r="I198" s="4">
        <f t="shared" si="31"/>
        <v>27.311894816695858</v>
      </c>
      <c r="J198" s="4">
        <f t="shared" si="32"/>
        <v>-0.13799561736232743</v>
      </c>
      <c r="K198" s="4">
        <v>0.13799561736232699</v>
      </c>
    </row>
    <row r="199" spans="2:11" x14ac:dyDescent="0.25">
      <c r="B199" s="2" t="s">
        <v>6</v>
      </c>
      <c r="C199" s="11">
        <v>2023</v>
      </c>
      <c r="D199" s="11">
        <v>20</v>
      </c>
      <c r="E199" s="4">
        <f t="shared" si="27"/>
        <v>24.765193241648252</v>
      </c>
      <c r="F199" s="4">
        <f t="shared" si="28"/>
        <v>27.023964533664302</v>
      </c>
      <c r="G199" s="4">
        <f t="shared" si="33"/>
        <v>22.506421949632202</v>
      </c>
      <c r="H199" s="4">
        <f t="shared" si="30"/>
        <v>-0.96804483943545006</v>
      </c>
      <c r="I199" s="4">
        <f t="shared" si="31"/>
        <v>25.115146835984085</v>
      </c>
      <c r="J199" s="4">
        <f t="shared" si="32"/>
        <v>-0.25575734179920423</v>
      </c>
      <c r="K199" s="4">
        <v>0.25575734179920401</v>
      </c>
    </row>
    <row r="200" spans="2:11" x14ac:dyDescent="0.25">
      <c r="B200" s="2" t="s">
        <v>7</v>
      </c>
      <c r="C200" s="11">
        <v>2024</v>
      </c>
      <c r="D200" s="11">
        <v>22</v>
      </c>
      <c r="E200" s="4">
        <f t="shared" si="27"/>
        <v>23.935635269153778</v>
      </c>
      <c r="F200" s="4">
        <f t="shared" si="28"/>
        <v>26.097465754311145</v>
      </c>
      <c r="G200" s="4">
        <f t="shared" si="33"/>
        <v>21.773804783996411</v>
      </c>
      <c r="H200" s="4">
        <f t="shared" si="30"/>
        <v>-0.92649877935315728</v>
      </c>
      <c r="I200" s="4">
        <f t="shared" si="31"/>
        <v>21.538377110196752</v>
      </c>
      <c r="J200" s="4">
        <f t="shared" si="32"/>
        <v>2.0982858627420373E-2</v>
      </c>
      <c r="K200" s="4">
        <v>2.0982858627420373E-2</v>
      </c>
    </row>
    <row r="201" spans="2:11" x14ac:dyDescent="0.25">
      <c r="B201" s="2" t="s">
        <v>8</v>
      </c>
      <c r="C201" s="11">
        <v>2024</v>
      </c>
      <c r="D201" s="11">
        <v>19</v>
      </c>
      <c r="E201" s="4">
        <f t="shared" si="27"/>
        <v>22.454944688407643</v>
      </c>
      <c r="F201" s="4">
        <f t="shared" si="28"/>
        <v>25.004709434540093</v>
      </c>
      <c r="G201" s="4">
        <f t="shared" si="33"/>
        <v>19.905179942275193</v>
      </c>
      <c r="H201" s="4">
        <f t="shared" si="30"/>
        <v>-1.0927563197710499</v>
      </c>
      <c r="I201" s="4">
        <f t="shared" si="31"/>
        <v>20.847306004643254</v>
      </c>
      <c r="J201" s="4">
        <f t="shared" si="32"/>
        <v>-9.7226631823329177E-2</v>
      </c>
      <c r="K201" s="4">
        <v>9.7226631823329204E-2</v>
      </c>
    </row>
    <row r="202" spans="2:11" x14ac:dyDescent="0.25">
      <c r="B202" s="2" t="s">
        <v>9</v>
      </c>
      <c r="C202" s="11">
        <v>2024</v>
      </c>
      <c r="D202" s="11">
        <v>31</v>
      </c>
      <c r="E202" s="4">
        <f t="shared" si="27"/>
        <v>25.018461281885347</v>
      </c>
      <c r="F202" s="4">
        <f t="shared" si="28"/>
        <v>25.008834988743669</v>
      </c>
      <c r="G202" s="4">
        <f t="shared" si="33"/>
        <v>25.028087575027026</v>
      </c>
      <c r="H202" s="4">
        <f t="shared" si="30"/>
        <v>4.1255542035766478E-3</v>
      </c>
      <c r="I202" s="4">
        <f t="shared" si="31"/>
        <v>18.812423622504145</v>
      </c>
      <c r="J202" s="4">
        <f t="shared" si="32"/>
        <v>0.39314762508051143</v>
      </c>
      <c r="K202" s="4">
        <v>0.39314762508051143</v>
      </c>
    </row>
    <row r="203" spans="2:11" x14ac:dyDescent="0.25">
      <c r="B203" s="2" t="s">
        <v>10</v>
      </c>
      <c r="C203" s="11">
        <v>2024</v>
      </c>
      <c r="D203" s="11">
        <v>34</v>
      </c>
      <c r="E203" s="4">
        <f t="shared" si="27"/>
        <v>27.712922897319743</v>
      </c>
      <c r="F203" s="4">
        <f t="shared" si="28"/>
        <v>25.82006136131649</v>
      </c>
      <c r="G203" s="4">
        <f t="shared" si="33"/>
        <v>29.605784433322995</v>
      </c>
      <c r="H203" s="4">
        <f t="shared" si="30"/>
        <v>0.81122637257282249</v>
      </c>
      <c r="I203" s="4">
        <f t="shared" si="31"/>
        <v>25.032213129230602</v>
      </c>
      <c r="J203" s="4">
        <f t="shared" si="32"/>
        <v>0.26375843737557053</v>
      </c>
      <c r="K203" s="4">
        <v>0.26375843737557053</v>
      </c>
    </row>
    <row r="204" spans="2:11" x14ac:dyDescent="0.25">
      <c r="B204" s="2" t="s">
        <v>11</v>
      </c>
      <c r="C204" s="11">
        <v>2024</v>
      </c>
      <c r="D204" s="11">
        <v>36</v>
      </c>
      <c r="E204" s="4">
        <f t="shared" si="27"/>
        <v>30.199046028123817</v>
      </c>
      <c r="F204" s="4">
        <f t="shared" si="28"/>
        <v>27.133756761358686</v>
      </c>
      <c r="G204" s="4">
        <f t="shared" si="33"/>
        <v>33.264335294888951</v>
      </c>
      <c r="H204" s="4">
        <f t="shared" si="30"/>
        <v>1.313695400042199</v>
      </c>
      <c r="I204" s="4">
        <f t="shared" si="31"/>
        <v>30.417010805895817</v>
      </c>
      <c r="J204" s="4">
        <f t="shared" si="32"/>
        <v>0.15508303316956062</v>
      </c>
      <c r="K204" s="4">
        <v>0.15508303316956062</v>
      </c>
    </row>
    <row r="205" spans="2:11" x14ac:dyDescent="0.25">
      <c r="B205" s="2" t="s">
        <v>12</v>
      </c>
      <c r="C205" s="11">
        <v>2024</v>
      </c>
      <c r="D205" s="11">
        <v>38</v>
      </c>
      <c r="E205" s="4">
        <f t="shared" si="27"/>
        <v>32.539332219686671</v>
      </c>
      <c r="F205" s="4">
        <f t="shared" si="28"/>
        <v>28.755429398857078</v>
      </c>
      <c r="G205" s="4">
        <f t="shared" si="33"/>
        <v>36.323235040516266</v>
      </c>
      <c r="H205" s="4">
        <f t="shared" si="30"/>
        <v>1.6216726374983967</v>
      </c>
      <c r="I205" s="4">
        <f t="shared" si="31"/>
        <v>34.578030694931151</v>
      </c>
      <c r="J205" s="4">
        <f t="shared" si="32"/>
        <v>9.0051823817601295E-2</v>
      </c>
      <c r="K205" s="4">
        <v>9.0051823817601295E-2</v>
      </c>
    </row>
    <row r="206" spans="2:11" x14ac:dyDescent="0.25">
      <c r="B206" s="2" t="s">
        <v>13</v>
      </c>
      <c r="C206" s="12">
        <v>2024</v>
      </c>
      <c r="D206" s="12">
        <v>40</v>
      </c>
      <c r="E206" s="4">
        <f t="shared" si="27"/>
        <v>34.777532553780667</v>
      </c>
      <c r="F206" s="4">
        <f t="shared" si="28"/>
        <v>30.562060345334153</v>
      </c>
      <c r="G206" s="4">
        <f t="shared" si="33"/>
        <v>38.99300476222718</v>
      </c>
      <c r="H206" s="4">
        <f t="shared" si="30"/>
        <v>1.8066309464770773</v>
      </c>
      <c r="I206" s="4">
        <f t="shared" si="31"/>
        <v>37.944907678014665</v>
      </c>
      <c r="J206" s="4">
        <f t="shared" si="32"/>
        <v>5.1377308049633363E-2</v>
      </c>
      <c r="K206" s="4">
        <v>5.1377308049633363E-2</v>
      </c>
    </row>
    <row r="207" spans="2:11" x14ac:dyDescent="0.25">
      <c r="B207" s="8" t="s">
        <v>2</v>
      </c>
      <c r="C207" s="13">
        <v>2024</v>
      </c>
      <c r="D207" s="8"/>
      <c r="E207" s="10"/>
      <c r="F207" s="10"/>
      <c r="G207" s="10"/>
      <c r="H207" s="10"/>
      <c r="I207" s="9">
        <f t="shared" si="31"/>
        <v>40.799635708704258</v>
      </c>
      <c r="J207" s="14" t="s">
        <v>21</v>
      </c>
      <c r="K207" s="10">
        <f>100/36*SUM(K172:K206)</f>
        <v>11.840838495499591</v>
      </c>
    </row>
    <row r="212" spans="2:14" x14ac:dyDescent="0.25">
      <c r="B212" s="3" t="s">
        <v>0</v>
      </c>
      <c r="C212" s="3" t="s">
        <v>1</v>
      </c>
      <c r="D212" s="3" t="s">
        <v>22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18</v>
      </c>
      <c r="J212" s="3" t="s">
        <v>19</v>
      </c>
      <c r="K212" s="3" t="s">
        <v>20</v>
      </c>
      <c r="N212" s="7">
        <v>0.2</v>
      </c>
    </row>
    <row r="213" spans="2:14" x14ac:dyDescent="0.25">
      <c r="B213" s="2" t="s">
        <v>2</v>
      </c>
      <c r="C213" s="2">
        <v>2021</v>
      </c>
      <c r="D213" s="2">
        <v>27</v>
      </c>
      <c r="E213" s="2">
        <v>27</v>
      </c>
      <c r="F213" s="2">
        <v>27</v>
      </c>
      <c r="G213" s="2">
        <v>27</v>
      </c>
      <c r="H213" s="2">
        <v>0</v>
      </c>
      <c r="I213" s="5"/>
      <c r="J213" s="5"/>
      <c r="K213" s="5"/>
      <c r="N213" s="7">
        <v>0.8</v>
      </c>
    </row>
    <row r="214" spans="2:14" x14ac:dyDescent="0.25">
      <c r="B214" s="2" t="s">
        <v>4</v>
      </c>
      <c r="C214" s="2">
        <v>2021</v>
      </c>
      <c r="D214" s="2">
        <v>24</v>
      </c>
      <c r="E214" s="4">
        <f>($N$212)*D214+($N$213)*E213</f>
        <v>26.400000000000002</v>
      </c>
      <c r="F214" s="4">
        <f>($N$212)*E214+($N$213)*F213</f>
        <v>26.880000000000003</v>
      </c>
      <c r="G214" s="4">
        <f>2*(E214)-(F214)</f>
        <v>25.92</v>
      </c>
      <c r="H214" s="4">
        <f>$N$212/$N$213*(E214-F214)</f>
        <v>-0.12000000000000011</v>
      </c>
      <c r="I214" s="4">
        <f>G213+H213</f>
        <v>27</v>
      </c>
      <c r="J214" s="4">
        <f>(D214-I214)/D214</f>
        <v>-0.125</v>
      </c>
      <c r="K214" s="4">
        <v>0.125</v>
      </c>
    </row>
    <row r="215" spans="2:14" x14ac:dyDescent="0.25">
      <c r="B215" s="2" t="s">
        <v>3</v>
      </c>
      <c r="C215" s="2">
        <v>2021</v>
      </c>
      <c r="D215" s="2">
        <v>22</v>
      </c>
      <c r="E215" s="4">
        <f t="shared" ref="E215:E248" si="34">($N$212)*D215+($N$213)*E214</f>
        <v>25.520000000000003</v>
      </c>
      <c r="F215" s="4">
        <f t="shared" ref="F215:F248" si="35">($N$212)*E215+($N$213)*F214</f>
        <v>26.608000000000004</v>
      </c>
      <c r="G215" s="4">
        <f t="shared" ref="G215:G223" si="36">2*(E215)-(F215)</f>
        <v>24.432000000000002</v>
      </c>
      <c r="H215" s="4">
        <f t="shared" ref="H215:H248" si="37">$N$212/$N$213*(E215-F215)</f>
        <v>-0.27200000000000024</v>
      </c>
      <c r="I215" s="4">
        <f>G214+H214</f>
        <v>25.8</v>
      </c>
      <c r="J215" s="4">
        <f>(D215-I215)/D215</f>
        <v>-0.17272727272727276</v>
      </c>
      <c r="K215" s="4">
        <v>0.17272727272727301</v>
      </c>
    </row>
    <row r="216" spans="2:14" x14ac:dyDescent="0.25">
      <c r="B216" s="2" t="s">
        <v>5</v>
      </c>
      <c r="C216" s="2">
        <v>2021</v>
      </c>
      <c r="D216" s="2">
        <v>19</v>
      </c>
      <c r="E216" s="4">
        <f t="shared" si="34"/>
        <v>24.216000000000005</v>
      </c>
      <c r="F216" s="4">
        <f t="shared" si="35"/>
        <v>26.129600000000003</v>
      </c>
      <c r="G216" s="4">
        <f t="shared" si="36"/>
        <v>22.302400000000006</v>
      </c>
      <c r="H216" s="4">
        <f t="shared" si="37"/>
        <v>-0.47839999999999971</v>
      </c>
      <c r="I216" s="4">
        <f t="shared" ref="I216:I220" si="38">G215+H215</f>
        <v>24.160000000000004</v>
      </c>
      <c r="J216" s="4">
        <f t="shared" ref="J216:J248" si="39">(D216-I216)/D216</f>
        <v>-0.27157894736842125</v>
      </c>
      <c r="K216" s="4">
        <v>0.27157894736842098</v>
      </c>
    </row>
    <row r="217" spans="2:14" x14ac:dyDescent="0.25">
      <c r="B217" s="2" t="s">
        <v>6</v>
      </c>
      <c r="C217" s="2">
        <v>2021</v>
      </c>
      <c r="D217" s="2">
        <v>18</v>
      </c>
      <c r="E217" s="4">
        <f t="shared" si="34"/>
        <v>22.972800000000007</v>
      </c>
      <c r="F217" s="4">
        <f t="shared" si="35"/>
        <v>25.498240000000006</v>
      </c>
      <c r="G217" s="4">
        <f t="shared" si="36"/>
        <v>20.447360000000007</v>
      </c>
      <c r="H217" s="4">
        <f t="shared" si="37"/>
        <v>-0.63135999999999992</v>
      </c>
      <c r="I217" s="4">
        <f t="shared" si="38"/>
        <v>21.824000000000005</v>
      </c>
      <c r="J217" s="4">
        <f t="shared" si="39"/>
        <v>-0.21244444444444474</v>
      </c>
      <c r="K217" s="4">
        <v>0.21244444444444499</v>
      </c>
    </row>
    <row r="218" spans="2:14" x14ac:dyDescent="0.25">
      <c r="B218" s="2" t="s">
        <v>7</v>
      </c>
      <c r="C218" s="2">
        <v>2021</v>
      </c>
      <c r="D218" s="2">
        <v>18</v>
      </c>
      <c r="E218" s="4">
        <f t="shared" si="34"/>
        <v>21.978240000000007</v>
      </c>
      <c r="F218" s="4">
        <f t="shared" si="35"/>
        <v>24.794240000000009</v>
      </c>
      <c r="G218" s="4">
        <f t="shared" si="36"/>
        <v>19.162240000000004</v>
      </c>
      <c r="H218" s="4">
        <f t="shared" si="37"/>
        <v>-0.70400000000000063</v>
      </c>
      <c r="I218" s="4">
        <f t="shared" si="38"/>
        <v>19.816000000000006</v>
      </c>
      <c r="J218" s="4">
        <f t="shared" si="39"/>
        <v>-0.10088888888888922</v>
      </c>
      <c r="K218" s="4">
        <v>0.100888888888889</v>
      </c>
    </row>
    <row r="219" spans="2:14" x14ac:dyDescent="0.25">
      <c r="B219" s="2" t="s">
        <v>8</v>
      </c>
      <c r="C219" s="2">
        <v>2021</v>
      </c>
      <c r="D219" s="2">
        <v>15</v>
      </c>
      <c r="E219" s="4">
        <f t="shared" si="34"/>
        <v>20.582592000000005</v>
      </c>
      <c r="F219" s="4">
        <f t="shared" si="35"/>
        <v>23.95191040000001</v>
      </c>
      <c r="G219" s="4">
        <f t="shared" si="36"/>
        <v>17.213273600000001</v>
      </c>
      <c r="H219" s="4">
        <f t="shared" si="37"/>
        <v>-0.84232960000000112</v>
      </c>
      <c r="I219" s="4">
        <f t="shared" si="38"/>
        <v>18.458240000000004</v>
      </c>
      <c r="J219" s="4">
        <f t="shared" si="39"/>
        <v>-0.23054933333333358</v>
      </c>
      <c r="K219" s="4">
        <v>0.23054933333333399</v>
      </c>
    </row>
    <row r="220" spans="2:14" x14ac:dyDescent="0.25">
      <c r="B220" s="2" t="s">
        <v>9</v>
      </c>
      <c r="C220" s="2">
        <v>2022</v>
      </c>
      <c r="D220" s="2">
        <v>20</v>
      </c>
      <c r="E220" s="4">
        <f t="shared" si="34"/>
        <v>20.466073600000005</v>
      </c>
      <c r="F220" s="4">
        <f t="shared" si="35"/>
        <v>23.254743040000012</v>
      </c>
      <c r="G220" s="4">
        <f t="shared" si="36"/>
        <v>17.677404159999998</v>
      </c>
      <c r="H220" s="4">
        <f t="shared" si="37"/>
        <v>-0.69716736000000168</v>
      </c>
      <c r="I220" s="4">
        <f t="shared" si="38"/>
        <v>16.370944000000001</v>
      </c>
      <c r="J220" s="4">
        <f t="shared" si="39"/>
        <v>0.18145279999999991</v>
      </c>
      <c r="K220" s="4">
        <v>0.18145279999999991</v>
      </c>
    </row>
    <row r="221" spans="2:14" x14ac:dyDescent="0.25">
      <c r="B221" s="2" t="s">
        <v>10</v>
      </c>
      <c r="C221" s="2">
        <v>2022</v>
      </c>
      <c r="D221" s="2">
        <v>22</v>
      </c>
      <c r="E221" s="4">
        <f t="shared" si="34"/>
        <v>20.772858880000008</v>
      </c>
      <c r="F221" s="4">
        <f t="shared" si="35"/>
        <v>22.758366208000012</v>
      </c>
      <c r="G221" s="4">
        <f t="shared" si="36"/>
        <v>18.787351552000004</v>
      </c>
      <c r="H221" s="4">
        <f t="shared" si="37"/>
        <v>-0.49637683200000104</v>
      </c>
      <c r="I221" s="4">
        <f>G220+H220</f>
        <v>16.980236799999997</v>
      </c>
      <c r="J221" s="4">
        <f t="shared" si="39"/>
        <v>0.22817105454545469</v>
      </c>
      <c r="K221" s="4">
        <v>0.22817105454545469</v>
      </c>
    </row>
    <row r="222" spans="2:14" x14ac:dyDescent="0.25">
      <c r="B222" s="2" t="s">
        <v>11</v>
      </c>
      <c r="C222" s="2">
        <v>2022</v>
      </c>
      <c r="D222" s="2">
        <v>26</v>
      </c>
      <c r="E222" s="4">
        <f t="shared" si="34"/>
        <v>21.818287104000007</v>
      </c>
      <c r="F222" s="4">
        <f t="shared" si="35"/>
        <v>22.570350387200012</v>
      </c>
      <c r="G222" s="4">
        <f t="shared" si="36"/>
        <v>21.066223820800001</v>
      </c>
      <c r="H222" s="4">
        <f t="shared" si="37"/>
        <v>-0.18801582080000134</v>
      </c>
      <c r="I222" s="4">
        <f t="shared" ref="I222:I249" si="40">G221+H221</f>
        <v>18.290974720000001</v>
      </c>
      <c r="J222" s="4">
        <f t="shared" si="39"/>
        <v>0.29650097230769223</v>
      </c>
      <c r="K222" s="4">
        <v>0.29650097230769223</v>
      </c>
    </row>
    <row r="223" spans="2:14" x14ac:dyDescent="0.25">
      <c r="B223" s="2" t="s">
        <v>12</v>
      </c>
      <c r="C223" s="2">
        <v>2022</v>
      </c>
      <c r="D223" s="2">
        <v>26</v>
      </c>
      <c r="E223" s="4">
        <f t="shared" si="34"/>
        <v>22.654629683200007</v>
      </c>
      <c r="F223" s="4">
        <f t="shared" si="35"/>
        <v>22.587206246400012</v>
      </c>
      <c r="G223" s="4">
        <f t="shared" si="36"/>
        <v>22.722053120000002</v>
      </c>
      <c r="H223" s="4">
        <f t="shared" si="37"/>
        <v>1.6855859199998768E-2</v>
      </c>
      <c r="I223" s="4">
        <f t="shared" si="40"/>
        <v>20.878208000000001</v>
      </c>
      <c r="J223" s="4">
        <f t="shared" si="39"/>
        <v>0.19699199999999997</v>
      </c>
      <c r="K223" s="4">
        <v>0.19699199999999997</v>
      </c>
    </row>
    <row r="224" spans="2:14" x14ac:dyDescent="0.25">
      <c r="B224" s="2" t="s">
        <v>13</v>
      </c>
      <c r="C224" s="2">
        <v>2022</v>
      </c>
      <c r="D224" s="2">
        <v>28</v>
      </c>
      <c r="E224" s="4">
        <f t="shared" si="34"/>
        <v>23.723703746560009</v>
      </c>
      <c r="F224" s="4">
        <f t="shared" si="35"/>
        <v>22.814505746432012</v>
      </c>
      <c r="G224" s="4">
        <f>2*(E224)-(F224)</f>
        <v>24.632901746688006</v>
      </c>
      <c r="H224" s="4">
        <f t="shared" si="37"/>
        <v>0.22729950003199928</v>
      </c>
      <c r="I224" s="4">
        <f t="shared" si="40"/>
        <v>22.738908979200001</v>
      </c>
      <c r="J224" s="4">
        <f t="shared" si="39"/>
        <v>0.18789610788571423</v>
      </c>
      <c r="K224" s="4">
        <v>0.18789610788571423</v>
      </c>
    </row>
    <row r="225" spans="2:11" x14ac:dyDescent="0.25">
      <c r="B225" s="2" t="s">
        <v>2</v>
      </c>
      <c r="C225" s="2">
        <v>2022</v>
      </c>
      <c r="D225" s="11">
        <v>30</v>
      </c>
      <c r="E225" s="4">
        <f t="shared" si="34"/>
        <v>24.978962997248008</v>
      </c>
      <c r="F225" s="4">
        <f t="shared" si="35"/>
        <v>23.247397196595212</v>
      </c>
      <c r="G225" s="4">
        <f t="shared" ref="G225:G248" si="41">2*(E225)-(F225)</f>
        <v>26.710528797900803</v>
      </c>
      <c r="H225" s="4">
        <f t="shared" si="37"/>
        <v>0.43289145016319885</v>
      </c>
      <c r="I225" s="4">
        <f t="shared" si="40"/>
        <v>24.860201246720006</v>
      </c>
      <c r="J225" s="4">
        <f t="shared" si="39"/>
        <v>0.17132662510933314</v>
      </c>
      <c r="K225" s="4">
        <v>0.17132662510933314</v>
      </c>
    </row>
    <row r="226" spans="2:11" x14ac:dyDescent="0.25">
      <c r="B226" s="2" t="s">
        <v>4</v>
      </c>
      <c r="C226" s="2">
        <v>2022</v>
      </c>
      <c r="D226" s="11">
        <v>33</v>
      </c>
      <c r="E226" s="4">
        <f t="shared" si="34"/>
        <v>26.583170397798408</v>
      </c>
      <c r="F226" s="4">
        <f t="shared" si="35"/>
        <v>23.914551836835855</v>
      </c>
      <c r="G226" s="4">
        <f t="shared" si="41"/>
        <v>29.251788958760962</v>
      </c>
      <c r="H226" s="4">
        <f t="shared" si="37"/>
        <v>0.66715464024063831</v>
      </c>
      <c r="I226" s="4">
        <f t="shared" si="40"/>
        <v>27.143420248064004</v>
      </c>
      <c r="J226" s="4">
        <f t="shared" si="39"/>
        <v>0.17747211369503019</v>
      </c>
      <c r="K226" s="4">
        <v>0.17747211369503019</v>
      </c>
    </row>
    <row r="227" spans="2:11" x14ac:dyDescent="0.25">
      <c r="B227" s="2" t="s">
        <v>3</v>
      </c>
      <c r="C227" s="2">
        <v>2022</v>
      </c>
      <c r="D227" s="11">
        <v>31</v>
      </c>
      <c r="E227" s="4">
        <f t="shared" si="34"/>
        <v>27.466536318238727</v>
      </c>
      <c r="F227" s="4">
        <f t="shared" si="35"/>
        <v>24.624948733116433</v>
      </c>
      <c r="G227" s="4">
        <f t="shared" si="41"/>
        <v>30.308123903361022</v>
      </c>
      <c r="H227" s="4">
        <f t="shared" si="37"/>
        <v>0.71039689628057356</v>
      </c>
      <c r="I227" s="4">
        <f t="shared" si="40"/>
        <v>29.918943599001601</v>
      </c>
      <c r="J227" s="4">
        <f t="shared" si="39"/>
        <v>3.487278712898062E-2</v>
      </c>
      <c r="K227" s="4">
        <v>3.487278712898062E-2</v>
      </c>
    </row>
    <row r="228" spans="2:11" x14ac:dyDescent="0.25">
      <c r="B228" s="2" t="s">
        <v>5</v>
      </c>
      <c r="C228" s="2">
        <v>2022</v>
      </c>
      <c r="D228" s="11">
        <v>30</v>
      </c>
      <c r="E228" s="4">
        <f t="shared" si="34"/>
        <v>27.973229054590984</v>
      </c>
      <c r="F228" s="4">
        <f t="shared" si="35"/>
        <v>25.294604797411345</v>
      </c>
      <c r="G228" s="4">
        <f t="shared" si="41"/>
        <v>30.651853311770623</v>
      </c>
      <c r="H228" s="4">
        <f t="shared" si="37"/>
        <v>0.66965606429490965</v>
      </c>
      <c r="I228" s="4">
        <f t="shared" si="40"/>
        <v>31.018520799641596</v>
      </c>
      <c r="J228" s="4">
        <f t="shared" si="39"/>
        <v>-3.3950693321386539E-2</v>
      </c>
      <c r="K228" s="4">
        <v>3.3950693321386498E-2</v>
      </c>
    </row>
    <row r="229" spans="2:11" x14ac:dyDescent="0.25">
      <c r="B229" s="2" t="s">
        <v>6</v>
      </c>
      <c r="C229" s="2">
        <v>2022</v>
      </c>
      <c r="D229" s="11">
        <v>29</v>
      </c>
      <c r="E229" s="4">
        <f t="shared" si="34"/>
        <v>28.17858324367279</v>
      </c>
      <c r="F229" s="4">
        <f t="shared" si="35"/>
        <v>25.871400486663635</v>
      </c>
      <c r="G229" s="4">
        <f t="shared" si="41"/>
        <v>30.485766000681945</v>
      </c>
      <c r="H229" s="4">
        <f t="shared" si="37"/>
        <v>0.57679568925228875</v>
      </c>
      <c r="I229" s="4">
        <f t="shared" si="40"/>
        <v>31.321509376065531</v>
      </c>
      <c r="J229" s="4">
        <f t="shared" si="39"/>
        <v>-8.0052047450535568E-2</v>
      </c>
      <c r="K229" s="4">
        <v>8.0052047450535596E-2</v>
      </c>
    </row>
    <row r="230" spans="2:11" x14ac:dyDescent="0.25">
      <c r="B230" s="2" t="s">
        <v>7</v>
      </c>
      <c r="C230" s="2">
        <v>2022</v>
      </c>
      <c r="D230" s="11">
        <v>27</v>
      </c>
      <c r="E230" s="4">
        <f t="shared" si="34"/>
        <v>27.942866594938231</v>
      </c>
      <c r="F230" s="4">
        <f t="shared" si="35"/>
        <v>26.285693708318554</v>
      </c>
      <c r="G230" s="4">
        <f t="shared" si="41"/>
        <v>29.600039481557907</v>
      </c>
      <c r="H230" s="4">
        <f t="shared" si="37"/>
        <v>0.41429322165491911</v>
      </c>
      <c r="I230" s="4">
        <f t="shared" si="40"/>
        <v>31.062561689934235</v>
      </c>
      <c r="J230" s="4">
        <f t="shared" si="39"/>
        <v>-0.15046524777534204</v>
      </c>
      <c r="K230" s="4">
        <v>0.15046524777534201</v>
      </c>
    </row>
    <row r="231" spans="2:11" x14ac:dyDescent="0.25">
      <c r="B231" s="2" t="s">
        <v>8</v>
      </c>
      <c r="C231" s="2">
        <v>2022</v>
      </c>
      <c r="D231" s="11">
        <v>26</v>
      </c>
      <c r="E231" s="4">
        <f t="shared" si="34"/>
        <v>27.554293275950585</v>
      </c>
      <c r="F231" s="4">
        <f t="shared" si="35"/>
        <v>26.539413621844961</v>
      </c>
      <c r="G231" s="4">
        <f t="shared" si="41"/>
        <v>28.569172930056208</v>
      </c>
      <c r="H231" s="4">
        <f t="shared" si="37"/>
        <v>0.25371991352640588</v>
      </c>
      <c r="I231" s="4">
        <f t="shared" si="40"/>
        <v>30.014332703212826</v>
      </c>
      <c r="J231" s="4">
        <f t="shared" si="39"/>
        <v>-0.15439741166203177</v>
      </c>
      <c r="K231" s="4">
        <v>0.154397411662032</v>
      </c>
    </row>
    <row r="232" spans="2:11" x14ac:dyDescent="0.25">
      <c r="B232" s="2" t="s">
        <v>9</v>
      </c>
      <c r="C232" s="11">
        <v>2023</v>
      </c>
      <c r="D232" s="11">
        <v>28</v>
      </c>
      <c r="E232" s="4">
        <f t="shared" si="34"/>
        <v>27.64343462076047</v>
      </c>
      <c r="F232" s="4">
        <f t="shared" si="35"/>
        <v>26.760217821628064</v>
      </c>
      <c r="G232" s="4">
        <f t="shared" si="41"/>
        <v>28.526651419892875</v>
      </c>
      <c r="H232" s="4">
        <f t="shared" si="37"/>
        <v>0.2208041997831014</v>
      </c>
      <c r="I232" s="4">
        <f t="shared" si="40"/>
        <v>28.822892843582615</v>
      </c>
      <c r="J232" s="4">
        <f t="shared" si="39"/>
        <v>-2.9389030127950529E-2</v>
      </c>
      <c r="K232" s="4">
        <v>2.9389030127950501E-2</v>
      </c>
    </row>
    <row r="233" spans="2:11" x14ac:dyDescent="0.25">
      <c r="B233" s="2" t="s">
        <v>10</v>
      </c>
      <c r="C233" s="11">
        <v>2023</v>
      </c>
      <c r="D233" s="11">
        <v>28</v>
      </c>
      <c r="E233" s="4">
        <f t="shared" si="34"/>
        <v>27.714747696608377</v>
      </c>
      <c r="F233" s="4">
        <f t="shared" si="35"/>
        <v>26.951123796624127</v>
      </c>
      <c r="G233" s="4">
        <f t="shared" si="41"/>
        <v>28.478371596592627</v>
      </c>
      <c r="H233" s="4">
        <f t="shared" si="37"/>
        <v>0.19090597499606243</v>
      </c>
      <c r="I233" s="4">
        <f t="shared" si="40"/>
        <v>28.747455619675975</v>
      </c>
      <c r="J233" s="4">
        <f t="shared" si="39"/>
        <v>-2.6694843559856248E-2</v>
      </c>
      <c r="K233" s="4">
        <v>2.6694843559856199E-2</v>
      </c>
    </row>
    <row r="234" spans="2:11" x14ac:dyDescent="0.25">
      <c r="B234" s="2" t="s">
        <v>11</v>
      </c>
      <c r="C234" s="11">
        <v>2023</v>
      </c>
      <c r="D234" s="11">
        <v>29</v>
      </c>
      <c r="E234" s="4">
        <f t="shared" si="34"/>
        <v>27.971798157286702</v>
      </c>
      <c r="F234" s="4">
        <f t="shared" si="35"/>
        <v>27.155258668756645</v>
      </c>
      <c r="G234" s="4">
        <f t="shared" si="41"/>
        <v>28.78833764581676</v>
      </c>
      <c r="H234" s="4">
        <f t="shared" si="37"/>
        <v>0.20413487213251447</v>
      </c>
      <c r="I234" s="4">
        <f t="shared" si="40"/>
        <v>28.66927757158869</v>
      </c>
      <c r="J234" s="4">
        <f t="shared" si="39"/>
        <v>1.1404221669355508E-2</v>
      </c>
      <c r="K234" s="4">
        <v>1.1404221669355508E-2</v>
      </c>
    </row>
    <row r="235" spans="2:11" x14ac:dyDescent="0.25">
      <c r="B235" s="2" t="s">
        <v>12</v>
      </c>
      <c r="C235" s="11">
        <v>2023</v>
      </c>
      <c r="D235" s="11">
        <v>29</v>
      </c>
      <c r="E235" s="4">
        <f t="shared" si="34"/>
        <v>28.177438525829363</v>
      </c>
      <c r="F235" s="4">
        <f t="shared" si="35"/>
        <v>27.359694640171188</v>
      </c>
      <c r="G235" s="4">
        <f t="shared" si="41"/>
        <v>28.995182411487537</v>
      </c>
      <c r="H235" s="4">
        <f t="shared" si="37"/>
        <v>0.20443597141454362</v>
      </c>
      <c r="I235" s="4">
        <f t="shared" si="40"/>
        <v>28.992472517949274</v>
      </c>
      <c r="J235" s="4">
        <f t="shared" si="39"/>
        <v>2.5956834657676084E-4</v>
      </c>
      <c r="K235" s="4">
        <v>2.5956834657676084E-4</v>
      </c>
    </row>
    <row r="236" spans="2:11" x14ac:dyDescent="0.25">
      <c r="B236" s="2" t="s">
        <v>13</v>
      </c>
      <c r="C236" s="11">
        <v>2023</v>
      </c>
      <c r="D236" s="11">
        <v>30</v>
      </c>
      <c r="E236" s="4">
        <f t="shared" si="34"/>
        <v>28.541950820663491</v>
      </c>
      <c r="F236" s="4">
        <f t="shared" si="35"/>
        <v>27.596145876269649</v>
      </c>
      <c r="G236" s="4">
        <f t="shared" si="41"/>
        <v>29.487755765057333</v>
      </c>
      <c r="H236" s="4">
        <f t="shared" si="37"/>
        <v>0.23645123609846053</v>
      </c>
      <c r="I236" s="4">
        <f t="shared" si="40"/>
        <v>29.199618382902081</v>
      </c>
      <c r="J236" s="4">
        <f t="shared" si="39"/>
        <v>2.6679387236597307E-2</v>
      </c>
      <c r="K236" s="4">
        <v>2.6679387236597307E-2</v>
      </c>
    </row>
    <row r="237" spans="2:11" x14ac:dyDescent="0.25">
      <c r="B237" s="2" t="s">
        <v>2</v>
      </c>
      <c r="C237" s="11">
        <v>2023</v>
      </c>
      <c r="D237" s="11">
        <v>30</v>
      </c>
      <c r="E237" s="4">
        <f t="shared" si="34"/>
        <v>28.833560656530793</v>
      </c>
      <c r="F237" s="4">
        <f t="shared" si="35"/>
        <v>27.843628832321876</v>
      </c>
      <c r="G237" s="4">
        <f t="shared" si="41"/>
        <v>29.823492480739709</v>
      </c>
      <c r="H237" s="4">
        <f t="shared" si="37"/>
        <v>0.24748295605222914</v>
      </c>
      <c r="I237" s="4">
        <f t="shared" si="40"/>
        <v>29.724207001155794</v>
      </c>
      <c r="J237" s="4">
        <f t="shared" si="39"/>
        <v>9.1930999614735498E-3</v>
      </c>
      <c r="K237" s="4">
        <v>9.1930999614735498E-3</v>
      </c>
    </row>
    <row r="238" spans="2:11" x14ac:dyDescent="0.25">
      <c r="B238" s="2" t="s">
        <v>4</v>
      </c>
      <c r="C238" s="11">
        <v>2023</v>
      </c>
      <c r="D238" s="11">
        <v>28</v>
      </c>
      <c r="E238" s="4">
        <f t="shared" si="34"/>
        <v>28.666848525224637</v>
      </c>
      <c r="F238" s="4">
        <f t="shared" si="35"/>
        <v>28.00827277090243</v>
      </c>
      <c r="G238" s="4">
        <f t="shared" si="41"/>
        <v>29.325424279546844</v>
      </c>
      <c r="H238" s="4">
        <f t="shared" si="37"/>
        <v>0.16464393858055182</v>
      </c>
      <c r="I238" s="4">
        <f t="shared" si="40"/>
        <v>30.07097543679194</v>
      </c>
      <c r="J238" s="4">
        <f t="shared" si="39"/>
        <v>-7.3963408456855007E-2</v>
      </c>
      <c r="K238" s="4">
        <v>7.3963408456855007E-2</v>
      </c>
    </row>
    <row r="239" spans="2:11" x14ac:dyDescent="0.25">
      <c r="B239" s="2" t="s">
        <v>3</v>
      </c>
      <c r="C239" s="11">
        <v>2023</v>
      </c>
      <c r="D239" s="11">
        <v>26</v>
      </c>
      <c r="E239" s="4">
        <f t="shared" si="34"/>
        <v>28.133478820179711</v>
      </c>
      <c r="F239" s="4">
        <f t="shared" si="35"/>
        <v>28.033313980757889</v>
      </c>
      <c r="G239" s="4">
        <f t="shared" si="41"/>
        <v>28.233643659601533</v>
      </c>
      <c r="H239" s="4">
        <f t="shared" si="37"/>
        <v>2.5041209855455548E-2</v>
      </c>
      <c r="I239" s="4">
        <f t="shared" si="40"/>
        <v>29.490068218127398</v>
      </c>
      <c r="J239" s="4">
        <f t="shared" si="39"/>
        <v>-0.13423339300489992</v>
      </c>
      <c r="K239" s="4">
        <v>0.1342333930049</v>
      </c>
    </row>
    <row r="240" spans="2:11" x14ac:dyDescent="0.25">
      <c r="B240" s="2" t="s">
        <v>5</v>
      </c>
      <c r="C240" s="11">
        <v>2023</v>
      </c>
      <c r="D240" s="11">
        <v>24</v>
      </c>
      <c r="E240" s="4">
        <f t="shared" si="34"/>
        <v>27.306783056143772</v>
      </c>
      <c r="F240" s="4">
        <f t="shared" si="35"/>
        <v>27.888007795835069</v>
      </c>
      <c r="G240" s="4">
        <f t="shared" si="41"/>
        <v>26.725558316452474</v>
      </c>
      <c r="H240" s="4">
        <f t="shared" si="37"/>
        <v>-0.14530618492282432</v>
      </c>
      <c r="I240" s="4">
        <f t="shared" si="40"/>
        <v>28.258684869456989</v>
      </c>
      <c r="J240" s="4">
        <f t="shared" si="39"/>
        <v>-0.1774452028940412</v>
      </c>
      <c r="K240" s="4">
        <v>0.177445202894041</v>
      </c>
    </row>
    <row r="241" spans="2:14" x14ac:dyDescent="0.25">
      <c r="B241" s="2" t="s">
        <v>6</v>
      </c>
      <c r="C241" s="11">
        <v>2023</v>
      </c>
      <c r="D241" s="11">
        <v>20</v>
      </c>
      <c r="E241" s="4">
        <f t="shared" si="34"/>
        <v>25.84542644491502</v>
      </c>
      <c r="F241" s="4">
        <f t="shared" si="35"/>
        <v>27.479491525651063</v>
      </c>
      <c r="G241" s="4">
        <f t="shared" si="41"/>
        <v>24.211361364178977</v>
      </c>
      <c r="H241" s="4">
        <f t="shared" si="37"/>
        <v>-0.40851627018401082</v>
      </c>
      <c r="I241" s="4">
        <f t="shared" si="40"/>
        <v>26.580252131529651</v>
      </c>
      <c r="J241" s="4">
        <f t="shared" si="39"/>
        <v>-0.32901260657648257</v>
      </c>
      <c r="K241" s="4">
        <v>0.32901260657648301</v>
      </c>
    </row>
    <row r="242" spans="2:14" x14ac:dyDescent="0.25">
      <c r="B242" s="2" t="s">
        <v>7</v>
      </c>
      <c r="C242" s="11">
        <v>2024</v>
      </c>
      <c r="D242" s="11">
        <v>22</v>
      </c>
      <c r="E242" s="4">
        <f t="shared" si="34"/>
        <v>25.07634115593202</v>
      </c>
      <c r="F242" s="4">
        <f t="shared" si="35"/>
        <v>26.998861451707256</v>
      </c>
      <c r="G242" s="4">
        <f t="shared" si="41"/>
        <v>23.153820860156785</v>
      </c>
      <c r="H242" s="4">
        <f t="shared" si="37"/>
        <v>-0.48063007394380897</v>
      </c>
      <c r="I242" s="4">
        <f t="shared" si="40"/>
        <v>23.802845093994968</v>
      </c>
      <c r="J242" s="4">
        <f t="shared" si="39"/>
        <v>-8.1947504272498542E-2</v>
      </c>
      <c r="K242" s="4">
        <v>8.19475042724985E-2</v>
      </c>
    </row>
    <row r="243" spans="2:14" x14ac:dyDescent="0.25">
      <c r="B243" s="2" t="s">
        <v>8</v>
      </c>
      <c r="C243" s="11">
        <v>2024</v>
      </c>
      <c r="D243" s="11">
        <v>19</v>
      </c>
      <c r="E243" s="4">
        <f t="shared" si="34"/>
        <v>23.861072924745617</v>
      </c>
      <c r="F243" s="4">
        <f t="shared" si="35"/>
        <v>26.371303746314929</v>
      </c>
      <c r="G243" s="4">
        <f t="shared" si="41"/>
        <v>21.350842103176305</v>
      </c>
      <c r="H243" s="4">
        <f t="shared" si="37"/>
        <v>-0.62755770539232802</v>
      </c>
      <c r="I243" s="4">
        <f t="shared" si="40"/>
        <v>22.673190786212977</v>
      </c>
      <c r="J243" s="4">
        <f t="shared" si="39"/>
        <v>-0.19332583085331459</v>
      </c>
      <c r="K243" s="4">
        <v>0.19332583085331501</v>
      </c>
    </row>
    <row r="244" spans="2:14" x14ac:dyDescent="0.25">
      <c r="B244" s="2" t="s">
        <v>9</v>
      </c>
      <c r="C244" s="11">
        <v>2024</v>
      </c>
      <c r="D244" s="11">
        <v>31</v>
      </c>
      <c r="E244" s="4">
        <f t="shared" si="34"/>
        <v>25.288858339796494</v>
      </c>
      <c r="F244" s="4">
        <f t="shared" si="35"/>
        <v>26.154814665011244</v>
      </c>
      <c r="G244" s="4">
        <f t="shared" si="41"/>
        <v>24.422902014581744</v>
      </c>
      <c r="H244" s="4">
        <f t="shared" si="37"/>
        <v>-0.21648908130368749</v>
      </c>
      <c r="I244" s="4">
        <f t="shared" si="40"/>
        <v>20.723284397783978</v>
      </c>
      <c r="J244" s="4">
        <f t="shared" si="39"/>
        <v>0.33150695491019427</v>
      </c>
      <c r="K244" s="4">
        <v>0.33150695491019427</v>
      </c>
    </row>
    <row r="245" spans="2:14" x14ac:dyDescent="0.25">
      <c r="B245" s="2" t="s">
        <v>10</v>
      </c>
      <c r="C245" s="11">
        <v>2024</v>
      </c>
      <c r="D245" s="11">
        <v>34</v>
      </c>
      <c r="E245" s="4">
        <f t="shared" si="34"/>
        <v>27.031086671837198</v>
      </c>
      <c r="F245" s="4">
        <f t="shared" si="35"/>
        <v>26.330069066376439</v>
      </c>
      <c r="G245" s="4">
        <f t="shared" si="41"/>
        <v>27.732104277297957</v>
      </c>
      <c r="H245" s="4">
        <f t="shared" si="37"/>
        <v>0.17525440136518977</v>
      </c>
      <c r="I245" s="4">
        <f t="shared" si="40"/>
        <v>24.206412933278056</v>
      </c>
      <c r="J245" s="4">
        <f t="shared" si="39"/>
        <v>0.28804667843299836</v>
      </c>
      <c r="K245" s="4">
        <v>0.28804667843299836</v>
      </c>
    </row>
    <row r="246" spans="2:14" x14ac:dyDescent="0.25">
      <c r="B246" s="2" t="s">
        <v>11</v>
      </c>
      <c r="C246" s="11">
        <v>2024</v>
      </c>
      <c r="D246" s="11">
        <v>36</v>
      </c>
      <c r="E246" s="4">
        <f t="shared" si="34"/>
        <v>28.82486933746976</v>
      </c>
      <c r="F246" s="4">
        <f t="shared" si="35"/>
        <v>26.829029120595106</v>
      </c>
      <c r="G246" s="4">
        <f t="shared" si="41"/>
        <v>30.820709554344415</v>
      </c>
      <c r="H246" s="4">
        <f t="shared" si="37"/>
        <v>0.49896005421866363</v>
      </c>
      <c r="I246" s="4">
        <f t="shared" si="40"/>
        <v>27.907358678663147</v>
      </c>
      <c r="J246" s="4">
        <f t="shared" si="39"/>
        <v>0.22479559225935702</v>
      </c>
      <c r="K246" s="4">
        <v>0.22479559225935702</v>
      </c>
    </row>
    <row r="247" spans="2:14" x14ac:dyDescent="0.25">
      <c r="B247" s="2" t="s">
        <v>12</v>
      </c>
      <c r="C247" s="11">
        <v>2024</v>
      </c>
      <c r="D247" s="11">
        <v>38</v>
      </c>
      <c r="E247" s="4">
        <f t="shared" si="34"/>
        <v>30.659895469975812</v>
      </c>
      <c r="F247" s="4">
        <f t="shared" si="35"/>
        <v>27.59520239047125</v>
      </c>
      <c r="G247" s="4">
        <f t="shared" si="41"/>
        <v>33.724588549480373</v>
      </c>
      <c r="H247" s="4">
        <f t="shared" si="37"/>
        <v>0.76617326987614032</v>
      </c>
      <c r="I247" s="4">
        <f t="shared" si="40"/>
        <v>31.319669608563078</v>
      </c>
      <c r="J247" s="4">
        <f t="shared" si="39"/>
        <v>0.17579816819570845</v>
      </c>
      <c r="K247" s="4">
        <v>0.17579816819570845</v>
      </c>
    </row>
    <row r="248" spans="2:14" x14ac:dyDescent="0.25">
      <c r="B248" s="2" t="s">
        <v>13</v>
      </c>
      <c r="C248" s="12">
        <v>2024</v>
      </c>
      <c r="D248" s="12">
        <v>40</v>
      </c>
      <c r="E248" s="4">
        <f t="shared" si="34"/>
        <v>32.527916375980652</v>
      </c>
      <c r="F248" s="4">
        <f t="shared" si="35"/>
        <v>28.581745187573134</v>
      </c>
      <c r="G248" s="4">
        <f t="shared" si="41"/>
        <v>36.474087564388171</v>
      </c>
      <c r="H248" s="4">
        <f t="shared" si="37"/>
        <v>0.98654279710187964</v>
      </c>
      <c r="I248" s="4">
        <f t="shared" si="40"/>
        <v>34.490761819356514</v>
      </c>
      <c r="J248" s="4">
        <f t="shared" si="39"/>
        <v>0.13773095451608713</v>
      </c>
      <c r="K248" s="4">
        <v>0.13773095451608713</v>
      </c>
    </row>
    <row r="249" spans="2:14" x14ac:dyDescent="0.25">
      <c r="B249" s="8" t="s">
        <v>2</v>
      </c>
      <c r="C249" s="13">
        <v>2024</v>
      </c>
      <c r="D249" s="8"/>
      <c r="E249" s="10"/>
      <c r="F249" s="10"/>
      <c r="G249" s="10"/>
      <c r="H249" s="10"/>
      <c r="I249" s="9">
        <f t="shared" si="40"/>
        <v>37.460630361490047</v>
      </c>
      <c r="J249" s="14" t="s">
        <v>21</v>
      </c>
      <c r="K249" s="10">
        <f>100/36*SUM(K214:K248)</f>
        <v>14.60601442477253</v>
      </c>
    </row>
    <row r="254" spans="2:14" x14ac:dyDescent="0.25">
      <c r="B254" s="3" t="s">
        <v>0</v>
      </c>
      <c r="C254" s="3" t="s">
        <v>1</v>
      </c>
      <c r="D254" s="3" t="s">
        <v>22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18</v>
      </c>
      <c r="J254" s="3" t="s">
        <v>19</v>
      </c>
      <c r="K254" s="3" t="s">
        <v>20</v>
      </c>
      <c r="N254" s="7">
        <v>0.1</v>
      </c>
    </row>
    <row r="255" spans="2:14" x14ac:dyDescent="0.25">
      <c r="B255" s="2" t="s">
        <v>2</v>
      </c>
      <c r="C255" s="2">
        <v>2021</v>
      </c>
      <c r="D255" s="2">
        <v>27</v>
      </c>
      <c r="E255" s="2">
        <v>27</v>
      </c>
      <c r="F255" s="2">
        <v>27</v>
      </c>
      <c r="G255" s="2">
        <v>27</v>
      </c>
      <c r="H255" s="2">
        <v>0</v>
      </c>
      <c r="I255" s="5"/>
      <c r="J255" s="5"/>
      <c r="K255" s="5"/>
      <c r="N255" s="7">
        <v>0.9</v>
      </c>
    </row>
    <row r="256" spans="2:14" x14ac:dyDescent="0.25">
      <c r="B256" s="2" t="s">
        <v>4</v>
      </c>
      <c r="C256" s="2">
        <v>2021</v>
      </c>
      <c r="D256" s="2">
        <v>24</v>
      </c>
      <c r="E256" s="4">
        <f>($N$254)*D256+($N$255)*E255</f>
        <v>26.700000000000003</v>
      </c>
      <c r="F256" s="4">
        <f>($N$254)*E256+($N$255)*F255</f>
        <v>26.970000000000002</v>
      </c>
      <c r="G256" s="4">
        <f>2*(E256)-(F256)</f>
        <v>26.430000000000003</v>
      </c>
      <c r="H256" s="4">
        <f>$N$254/$N$255*(E256-F256)</f>
        <v>-2.9999999999999954E-2</v>
      </c>
      <c r="I256" s="4">
        <f>G255+H255</f>
        <v>27</v>
      </c>
      <c r="J256" s="4">
        <f>(D256-I256)/D256</f>
        <v>-0.125</v>
      </c>
      <c r="K256" s="4">
        <v>0.125</v>
      </c>
    </row>
    <row r="257" spans="2:11" x14ac:dyDescent="0.25">
      <c r="B257" s="2" t="s">
        <v>3</v>
      </c>
      <c r="C257" s="2">
        <v>2021</v>
      </c>
      <c r="D257" s="2">
        <v>22</v>
      </c>
      <c r="E257" s="4">
        <f t="shared" ref="E257:E290" si="42">($N$254)*D257+($N$255)*E256</f>
        <v>26.230000000000004</v>
      </c>
      <c r="F257" s="4">
        <f t="shared" ref="F257:F290" si="43">($N$254)*E257+($N$255)*F256</f>
        <v>26.896000000000004</v>
      </c>
      <c r="G257" s="4">
        <f t="shared" ref="G257:G265" si="44">2*(E257)-(F257)</f>
        <v>25.564000000000004</v>
      </c>
      <c r="H257" s="4">
        <f t="shared" ref="H257:H290" si="45">$N$254/$N$255*(E257-F257)</f>
        <v>-7.4000000000000052E-2</v>
      </c>
      <c r="I257" s="4">
        <f>G256+H256</f>
        <v>26.400000000000002</v>
      </c>
      <c r="J257" s="4">
        <f>(D257-I257)/D257</f>
        <v>-0.20000000000000009</v>
      </c>
      <c r="K257" s="4">
        <v>0.2</v>
      </c>
    </row>
    <row r="258" spans="2:11" x14ac:dyDescent="0.25">
      <c r="B258" s="2" t="s">
        <v>5</v>
      </c>
      <c r="C258" s="2">
        <v>2021</v>
      </c>
      <c r="D258" s="2">
        <v>19</v>
      </c>
      <c r="E258" s="4">
        <f t="shared" si="42"/>
        <v>25.507000000000001</v>
      </c>
      <c r="F258" s="4">
        <f t="shared" si="43"/>
        <v>26.757100000000005</v>
      </c>
      <c r="G258" s="4">
        <f t="shared" si="44"/>
        <v>24.256899999999998</v>
      </c>
      <c r="H258" s="4">
        <f t="shared" si="45"/>
        <v>-0.13890000000000038</v>
      </c>
      <c r="I258" s="4">
        <f t="shared" ref="I258:I262" si="46">G257+H257</f>
        <v>25.490000000000002</v>
      </c>
      <c r="J258" s="4">
        <f t="shared" ref="J258:J290" si="47">(D258-I258)/D258</f>
        <v>-0.34157894736842115</v>
      </c>
      <c r="K258" s="4">
        <v>0.34157894736842098</v>
      </c>
    </row>
    <row r="259" spans="2:11" x14ac:dyDescent="0.25">
      <c r="B259" s="2" t="s">
        <v>6</v>
      </c>
      <c r="C259" s="2">
        <v>2021</v>
      </c>
      <c r="D259" s="2">
        <v>18</v>
      </c>
      <c r="E259" s="4">
        <f t="shared" si="42"/>
        <v>24.756300000000003</v>
      </c>
      <c r="F259" s="4">
        <f t="shared" si="43"/>
        <v>26.557020000000009</v>
      </c>
      <c r="G259" s="4">
        <f t="shared" si="44"/>
        <v>22.955579999999998</v>
      </c>
      <c r="H259" s="4">
        <f t="shared" si="45"/>
        <v>-0.20008000000000062</v>
      </c>
      <c r="I259" s="4">
        <f t="shared" si="46"/>
        <v>24.117999999999999</v>
      </c>
      <c r="J259" s="4">
        <f t="shared" si="47"/>
        <v>-0.3398888888888888</v>
      </c>
      <c r="K259" s="4">
        <v>0.33988888888888902</v>
      </c>
    </row>
    <row r="260" spans="2:11" x14ac:dyDescent="0.25">
      <c r="B260" s="2" t="s">
        <v>7</v>
      </c>
      <c r="C260" s="2">
        <v>2021</v>
      </c>
      <c r="D260" s="2">
        <v>18</v>
      </c>
      <c r="E260" s="4">
        <f t="shared" si="42"/>
        <v>24.080670000000005</v>
      </c>
      <c r="F260" s="4">
        <f t="shared" si="43"/>
        <v>26.309385000000006</v>
      </c>
      <c r="G260" s="4">
        <f t="shared" si="44"/>
        <v>21.851955000000004</v>
      </c>
      <c r="H260" s="4">
        <f t="shared" si="45"/>
        <v>-0.24763500000000013</v>
      </c>
      <c r="I260" s="4">
        <f t="shared" si="46"/>
        <v>22.755499999999998</v>
      </c>
      <c r="J260" s="4">
        <f t="shared" si="47"/>
        <v>-0.26419444444444434</v>
      </c>
      <c r="K260" s="4">
        <v>0.26419444444444401</v>
      </c>
    </row>
    <row r="261" spans="2:11" x14ac:dyDescent="0.25">
      <c r="B261" s="2" t="s">
        <v>8</v>
      </c>
      <c r="C261" s="2">
        <v>2021</v>
      </c>
      <c r="D261" s="2">
        <v>15</v>
      </c>
      <c r="E261" s="4">
        <f t="shared" si="42"/>
        <v>23.172603000000006</v>
      </c>
      <c r="F261" s="4">
        <f t="shared" si="43"/>
        <v>25.995706800000008</v>
      </c>
      <c r="G261" s="4">
        <f t="shared" si="44"/>
        <v>20.349499200000004</v>
      </c>
      <c r="H261" s="4">
        <f t="shared" si="45"/>
        <v>-0.31367820000000024</v>
      </c>
      <c r="I261" s="4">
        <f t="shared" si="46"/>
        <v>21.604320000000005</v>
      </c>
      <c r="J261" s="4">
        <f t="shared" si="47"/>
        <v>-0.44028800000000035</v>
      </c>
      <c r="K261" s="4">
        <v>0.44028800000000001</v>
      </c>
    </row>
    <row r="262" spans="2:11" x14ac:dyDescent="0.25">
      <c r="B262" s="2" t="s">
        <v>9</v>
      </c>
      <c r="C262" s="2">
        <v>2022</v>
      </c>
      <c r="D262" s="2">
        <v>20</v>
      </c>
      <c r="E262" s="4">
        <f t="shared" si="42"/>
        <v>22.855342700000005</v>
      </c>
      <c r="F262" s="4">
        <f t="shared" si="43"/>
        <v>25.681670390000008</v>
      </c>
      <c r="G262" s="4">
        <f t="shared" si="44"/>
        <v>20.029015010000002</v>
      </c>
      <c r="H262" s="4">
        <f t="shared" si="45"/>
        <v>-0.31403641000000038</v>
      </c>
      <c r="I262" s="4">
        <f t="shared" si="46"/>
        <v>20.035821000000002</v>
      </c>
      <c r="J262" s="4">
        <f t="shared" si="47"/>
        <v>-1.7910500000001051E-3</v>
      </c>
      <c r="K262" s="4">
        <v>1.7910500000001099E-3</v>
      </c>
    </row>
    <row r="263" spans="2:11" x14ac:dyDescent="0.25">
      <c r="B263" s="2" t="s">
        <v>10</v>
      </c>
      <c r="C263" s="2">
        <v>2022</v>
      </c>
      <c r="D263" s="2">
        <v>22</v>
      </c>
      <c r="E263" s="4">
        <f t="shared" si="42"/>
        <v>22.769808430000005</v>
      </c>
      <c r="F263" s="4">
        <f t="shared" si="43"/>
        <v>25.39048419400001</v>
      </c>
      <c r="G263" s="4">
        <f t="shared" si="44"/>
        <v>20.149132666</v>
      </c>
      <c r="H263" s="4">
        <f t="shared" si="45"/>
        <v>-0.29118619600000056</v>
      </c>
      <c r="I263" s="4">
        <f>G262+H262</f>
        <v>19.714978600000002</v>
      </c>
      <c r="J263" s="4">
        <f t="shared" si="47"/>
        <v>0.103864609090909</v>
      </c>
      <c r="K263" s="4">
        <v>0.103864609090909</v>
      </c>
    </row>
    <row r="264" spans="2:11" x14ac:dyDescent="0.25">
      <c r="B264" s="2" t="s">
        <v>11</v>
      </c>
      <c r="C264" s="2">
        <v>2022</v>
      </c>
      <c r="D264" s="2">
        <v>26</v>
      </c>
      <c r="E264" s="4">
        <f t="shared" si="42"/>
        <v>23.092827587000006</v>
      </c>
      <c r="F264" s="4">
        <f t="shared" si="43"/>
        <v>25.16071853330001</v>
      </c>
      <c r="G264" s="4">
        <f t="shared" si="44"/>
        <v>21.024936640700002</v>
      </c>
      <c r="H264" s="4">
        <f t="shared" si="45"/>
        <v>-0.22976566070000046</v>
      </c>
      <c r="I264" s="4">
        <f t="shared" ref="I264:I291" si="48">G263+H263</f>
        <v>19.857946469999998</v>
      </c>
      <c r="J264" s="4">
        <f t="shared" si="47"/>
        <v>0.23623282807692314</v>
      </c>
      <c r="K264" s="4">
        <v>0.23623282807692314</v>
      </c>
    </row>
    <row r="265" spans="2:11" x14ac:dyDescent="0.25">
      <c r="B265" s="2" t="s">
        <v>12</v>
      </c>
      <c r="C265" s="2">
        <v>2022</v>
      </c>
      <c r="D265" s="2">
        <v>26</v>
      </c>
      <c r="E265" s="4">
        <f t="shared" si="42"/>
        <v>23.383544828300007</v>
      </c>
      <c r="F265" s="4">
        <f t="shared" si="43"/>
        <v>24.983001162800008</v>
      </c>
      <c r="G265" s="4">
        <f t="shared" si="44"/>
        <v>21.784088493800006</v>
      </c>
      <c r="H265" s="4">
        <f t="shared" si="45"/>
        <v>-0.17771737050000014</v>
      </c>
      <c r="I265" s="4">
        <f t="shared" si="48"/>
        <v>20.795170980000002</v>
      </c>
      <c r="J265" s="4">
        <f t="shared" si="47"/>
        <v>0.20018573153846148</v>
      </c>
      <c r="K265" s="4">
        <v>0.20018573153846148</v>
      </c>
    </row>
    <row r="266" spans="2:11" x14ac:dyDescent="0.25">
      <c r="B266" s="2" t="s">
        <v>13</v>
      </c>
      <c r="C266" s="2">
        <v>2022</v>
      </c>
      <c r="D266" s="2">
        <v>28</v>
      </c>
      <c r="E266" s="4">
        <f t="shared" si="42"/>
        <v>23.845190345470009</v>
      </c>
      <c r="F266" s="4">
        <f t="shared" si="43"/>
        <v>24.869220081067009</v>
      </c>
      <c r="G266" s="4">
        <f>2*(E266)-(F266)</f>
        <v>22.821160609873008</v>
      </c>
      <c r="H266" s="4">
        <f t="shared" si="45"/>
        <v>-0.11378108173300008</v>
      </c>
      <c r="I266" s="4">
        <f t="shared" si="48"/>
        <v>21.606371123300004</v>
      </c>
      <c r="J266" s="4">
        <f t="shared" si="47"/>
        <v>0.22834388845357129</v>
      </c>
      <c r="K266" s="4">
        <v>0.22834388845357129</v>
      </c>
    </row>
    <row r="267" spans="2:11" x14ac:dyDescent="0.25">
      <c r="B267" s="2" t="s">
        <v>2</v>
      </c>
      <c r="C267" s="2">
        <v>2022</v>
      </c>
      <c r="D267" s="11">
        <v>30</v>
      </c>
      <c r="E267" s="4">
        <f t="shared" si="42"/>
        <v>24.460671310923008</v>
      </c>
      <c r="F267" s="4">
        <f t="shared" si="43"/>
        <v>24.828365204052609</v>
      </c>
      <c r="G267" s="4">
        <f t="shared" ref="G267:G290" si="49">2*(E267)-(F267)</f>
        <v>24.092977417793406</v>
      </c>
      <c r="H267" s="4">
        <f t="shared" si="45"/>
        <v>-4.0854877014400159E-2</v>
      </c>
      <c r="I267" s="4">
        <f t="shared" si="48"/>
        <v>22.707379528140009</v>
      </c>
      <c r="J267" s="4">
        <f t="shared" si="47"/>
        <v>0.24308734906199969</v>
      </c>
      <c r="K267" s="4">
        <v>0.24308734906199969</v>
      </c>
    </row>
    <row r="268" spans="2:11" x14ac:dyDescent="0.25">
      <c r="B268" s="2" t="s">
        <v>4</v>
      </c>
      <c r="C268" s="2">
        <v>2022</v>
      </c>
      <c r="D268" s="11">
        <v>33</v>
      </c>
      <c r="E268" s="4">
        <f t="shared" si="42"/>
        <v>25.31460417983071</v>
      </c>
      <c r="F268" s="4">
        <f t="shared" si="43"/>
        <v>24.876989101630421</v>
      </c>
      <c r="G268" s="4">
        <f t="shared" si="49"/>
        <v>25.752219258030998</v>
      </c>
      <c r="H268" s="4">
        <f t="shared" si="45"/>
        <v>4.8623897577809792E-2</v>
      </c>
      <c r="I268" s="4">
        <f t="shared" si="48"/>
        <v>24.052122540779006</v>
      </c>
      <c r="J268" s="4">
        <f t="shared" si="47"/>
        <v>0.27114780179457559</v>
      </c>
      <c r="K268" s="4">
        <v>0.27114780179457559</v>
      </c>
    </row>
    <row r="269" spans="2:11" x14ac:dyDescent="0.25">
      <c r="B269" s="2" t="s">
        <v>3</v>
      </c>
      <c r="C269" s="2">
        <v>2022</v>
      </c>
      <c r="D269" s="11">
        <v>31</v>
      </c>
      <c r="E269" s="4">
        <f t="shared" si="42"/>
        <v>25.883143761847641</v>
      </c>
      <c r="F269" s="4">
        <f t="shared" si="43"/>
        <v>24.977604567652147</v>
      </c>
      <c r="G269" s="4">
        <f t="shared" si="49"/>
        <v>26.788682956043136</v>
      </c>
      <c r="H269" s="4">
        <f t="shared" si="45"/>
        <v>0.10061546602172161</v>
      </c>
      <c r="I269" s="4">
        <f t="shared" si="48"/>
        <v>25.800843155608806</v>
      </c>
      <c r="J269" s="4">
        <f t="shared" si="47"/>
        <v>0.16771473691584496</v>
      </c>
      <c r="K269" s="4">
        <v>0.16771473691584496</v>
      </c>
    </row>
    <row r="270" spans="2:11" x14ac:dyDescent="0.25">
      <c r="B270" s="2" t="s">
        <v>5</v>
      </c>
      <c r="C270" s="2">
        <v>2022</v>
      </c>
      <c r="D270" s="11">
        <v>30</v>
      </c>
      <c r="E270" s="4">
        <f t="shared" si="42"/>
        <v>26.294829385662879</v>
      </c>
      <c r="F270" s="4">
        <f t="shared" si="43"/>
        <v>25.109327049453221</v>
      </c>
      <c r="G270" s="4">
        <f t="shared" si="49"/>
        <v>27.480331721872538</v>
      </c>
      <c r="H270" s="4">
        <f t="shared" si="45"/>
        <v>0.13172248180107321</v>
      </c>
      <c r="I270" s="4">
        <f t="shared" si="48"/>
        <v>26.889298422064858</v>
      </c>
      <c r="J270" s="4">
        <f t="shared" si="47"/>
        <v>0.10369005259783808</v>
      </c>
      <c r="K270" s="4">
        <v>0.10369005259783808</v>
      </c>
    </row>
    <row r="271" spans="2:11" x14ac:dyDescent="0.25">
      <c r="B271" s="2" t="s">
        <v>6</v>
      </c>
      <c r="C271" s="2">
        <v>2022</v>
      </c>
      <c r="D271" s="11">
        <v>29</v>
      </c>
      <c r="E271" s="4">
        <f t="shared" si="42"/>
        <v>26.565346447096594</v>
      </c>
      <c r="F271" s="4">
        <f t="shared" si="43"/>
        <v>25.254928989217557</v>
      </c>
      <c r="G271" s="4">
        <f t="shared" si="49"/>
        <v>27.875763904975631</v>
      </c>
      <c r="H271" s="4">
        <f t="shared" si="45"/>
        <v>0.14560193976433747</v>
      </c>
      <c r="I271" s="4">
        <f t="shared" si="48"/>
        <v>27.612054203673612</v>
      </c>
      <c r="J271" s="4">
        <f t="shared" si="47"/>
        <v>4.7860199873323732E-2</v>
      </c>
      <c r="K271" s="4">
        <v>4.7860199873323732E-2</v>
      </c>
    </row>
    <row r="272" spans="2:11" x14ac:dyDescent="0.25">
      <c r="B272" s="2" t="s">
        <v>7</v>
      </c>
      <c r="C272" s="2">
        <v>2022</v>
      </c>
      <c r="D272" s="11">
        <v>27</v>
      </c>
      <c r="E272" s="4">
        <f t="shared" si="42"/>
        <v>26.608811802386935</v>
      </c>
      <c r="F272" s="4">
        <f t="shared" si="43"/>
        <v>25.390317270534496</v>
      </c>
      <c r="G272" s="4">
        <f t="shared" si="49"/>
        <v>27.827306334239374</v>
      </c>
      <c r="H272" s="4">
        <f t="shared" si="45"/>
        <v>0.1353882813169377</v>
      </c>
      <c r="I272" s="4">
        <f t="shared" si="48"/>
        <v>28.021365844739968</v>
      </c>
      <c r="J272" s="4">
        <f t="shared" si="47"/>
        <v>-3.7828364619998819E-2</v>
      </c>
      <c r="K272" s="4">
        <v>3.7828364619998799E-2</v>
      </c>
    </row>
    <row r="273" spans="2:11" x14ac:dyDescent="0.25">
      <c r="B273" s="2" t="s">
        <v>8</v>
      </c>
      <c r="C273" s="2">
        <v>2022</v>
      </c>
      <c r="D273" s="11">
        <v>26</v>
      </c>
      <c r="E273" s="4">
        <f t="shared" si="42"/>
        <v>26.547930622148243</v>
      </c>
      <c r="F273" s="4">
        <f t="shared" si="43"/>
        <v>25.506078605695873</v>
      </c>
      <c r="G273" s="4">
        <f t="shared" si="49"/>
        <v>27.589782638600614</v>
      </c>
      <c r="H273" s="4">
        <f t="shared" si="45"/>
        <v>0.11576133516137452</v>
      </c>
      <c r="I273" s="4">
        <f t="shared" si="48"/>
        <v>27.962694615556313</v>
      </c>
      <c r="J273" s="4">
        <f t="shared" si="47"/>
        <v>-7.548825444447356E-2</v>
      </c>
      <c r="K273" s="4">
        <v>7.5488254444473601E-2</v>
      </c>
    </row>
    <row r="274" spans="2:11" x14ac:dyDescent="0.25">
      <c r="B274" s="2" t="s">
        <v>9</v>
      </c>
      <c r="C274" s="11">
        <v>2023</v>
      </c>
      <c r="D274" s="11">
        <v>28</v>
      </c>
      <c r="E274" s="4">
        <f t="shared" si="42"/>
        <v>26.693137559933419</v>
      </c>
      <c r="F274" s="4">
        <f t="shared" si="43"/>
        <v>25.624784501119628</v>
      </c>
      <c r="G274" s="4">
        <f t="shared" si="49"/>
        <v>27.76149061874721</v>
      </c>
      <c r="H274" s="4">
        <f t="shared" si="45"/>
        <v>0.11870589542375459</v>
      </c>
      <c r="I274" s="4">
        <f t="shared" si="48"/>
        <v>27.705543973761987</v>
      </c>
      <c r="J274" s="4">
        <f t="shared" si="47"/>
        <v>1.0516286651357605E-2</v>
      </c>
      <c r="K274" s="4">
        <v>1.0516286651357605E-2</v>
      </c>
    </row>
    <row r="275" spans="2:11" x14ac:dyDescent="0.25">
      <c r="B275" s="2" t="s">
        <v>10</v>
      </c>
      <c r="C275" s="11">
        <v>2023</v>
      </c>
      <c r="D275" s="11">
        <v>28</v>
      </c>
      <c r="E275" s="4">
        <f t="shared" si="42"/>
        <v>26.82382380394008</v>
      </c>
      <c r="F275" s="4">
        <f t="shared" si="43"/>
        <v>25.744688431401677</v>
      </c>
      <c r="G275" s="4">
        <f t="shared" si="49"/>
        <v>27.902959176478483</v>
      </c>
      <c r="H275" s="4">
        <f t="shared" si="45"/>
        <v>0.11990393028204475</v>
      </c>
      <c r="I275" s="4">
        <f t="shared" si="48"/>
        <v>27.880196514170965</v>
      </c>
      <c r="J275" s="4">
        <f t="shared" si="47"/>
        <v>4.2786959224655318E-3</v>
      </c>
      <c r="K275" s="4">
        <v>4.2786959224655318E-3</v>
      </c>
    </row>
    <row r="276" spans="2:11" x14ac:dyDescent="0.25">
      <c r="B276" s="2" t="s">
        <v>11</v>
      </c>
      <c r="C276" s="11">
        <v>2023</v>
      </c>
      <c r="D276" s="11">
        <v>29</v>
      </c>
      <c r="E276" s="4">
        <f t="shared" si="42"/>
        <v>27.041441423546075</v>
      </c>
      <c r="F276" s="4">
        <f t="shared" si="43"/>
        <v>25.874363730616118</v>
      </c>
      <c r="G276" s="4">
        <f t="shared" si="49"/>
        <v>28.208519116476033</v>
      </c>
      <c r="H276" s="4">
        <f t="shared" si="45"/>
        <v>0.12967529921443977</v>
      </c>
      <c r="I276" s="4">
        <f t="shared" si="48"/>
        <v>28.022863106760528</v>
      </c>
      <c r="J276" s="4">
        <f t="shared" si="47"/>
        <v>3.3694375628947296E-2</v>
      </c>
      <c r="K276" s="4">
        <v>3.3694375628947296E-2</v>
      </c>
    </row>
    <row r="277" spans="2:11" x14ac:dyDescent="0.25">
      <c r="B277" s="2" t="s">
        <v>12</v>
      </c>
      <c r="C277" s="11">
        <v>2023</v>
      </c>
      <c r="D277" s="11">
        <v>29</v>
      </c>
      <c r="E277" s="4">
        <f t="shared" si="42"/>
        <v>27.237297281191466</v>
      </c>
      <c r="F277" s="4">
        <f t="shared" si="43"/>
        <v>26.010657085673653</v>
      </c>
      <c r="G277" s="4">
        <f t="shared" si="49"/>
        <v>28.46393747670928</v>
      </c>
      <c r="H277" s="4">
        <f t="shared" si="45"/>
        <v>0.13629335505753482</v>
      </c>
      <c r="I277" s="4">
        <f t="shared" si="48"/>
        <v>28.338194415690474</v>
      </c>
      <c r="J277" s="4">
        <f t="shared" si="47"/>
        <v>2.2820882217569873E-2</v>
      </c>
      <c r="K277" s="4">
        <v>2.2820882217569873E-2</v>
      </c>
    </row>
    <row r="278" spans="2:11" x14ac:dyDescent="0.25">
      <c r="B278" s="2" t="s">
        <v>13</v>
      </c>
      <c r="C278" s="11">
        <v>2023</v>
      </c>
      <c r="D278" s="11">
        <v>30</v>
      </c>
      <c r="E278" s="4">
        <f t="shared" si="42"/>
        <v>27.51356755307232</v>
      </c>
      <c r="F278" s="4">
        <f t="shared" si="43"/>
        <v>26.16094813241352</v>
      </c>
      <c r="G278" s="4">
        <f t="shared" si="49"/>
        <v>28.866186973731121</v>
      </c>
      <c r="H278" s="4">
        <f t="shared" si="45"/>
        <v>0.15029104673986679</v>
      </c>
      <c r="I278" s="4">
        <f t="shared" si="48"/>
        <v>28.600230831766815</v>
      </c>
      <c r="J278" s="4">
        <f t="shared" si="47"/>
        <v>4.6658972274439492E-2</v>
      </c>
      <c r="K278" s="4">
        <v>4.6658972274439492E-2</v>
      </c>
    </row>
    <row r="279" spans="2:11" x14ac:dyDescent="0.25">
      <c r="B279" s="2" t="s">
        <v>2</v>
      </c>
      <c r="C279" s="11">
        <v>2023</v>
      </c>
      <c r="D279" s="11">
        <v>30</v>
      </c>
      <c r="E279" s="4">
        <f t="shared" si="42"/>
        <v>27.762210797765089</v>
      </c>
      <c r="F279" s="4">
        <f t="shared" si="43"/>
        <v>26.321074398948678</v>
      </c>
      <c r="G279" s="4">
        <f t="shared" si="49"/>
        <v>29.2033471965815</v>
      </c>
      <c r="H279" s="4">
        <f t="shared" si="45"/>
        <v>0.16012626653515682</v>
      </c>
      <c r="I279" s="4">
        <f t="shared" si="48"/>
        <v>29.016478020470988</v>
      </c>
      <c r="J279" s="4">
        <f t="shared" si="47"/>
        <v>3.2784065984300406E-2</v>
      </c>
      <c r="K279" s="4">
        <v>3.2784065984300406E-2</v>
      </c>
    </row>
    <row r="280" spans="2:11" x14ac:dyDescent="0.25">
      <c r="B280" s="2" t="s">
        <v>4</v>
      </c>
      <c r="C280" s="11">
        <v>2023</v>
      </c>
      <c r="D280" s="11">
        <v>28</v>
      </c>
      <c r="E280" s="4">
        <f t="shared" si="42"/>
        <v>27.785989717988581</v>
      </c>
      <c r="F280" s="4">
        <f t="shared" si="43"/>
        <v>26.467565930852668</v>
      </c>
      <c r="G280" s="4">
        <f t="shared" si="49"/>
        <v>29.104413505124494</v>
      </c>
      <c r="H280" s="4">
        <f t="shared" si="45"/>
        <v>0.14649153190399034</v>
      </c>
      <c r="I280" s="4">
        <f t="shared" si="48"/>
        <v>29.363473463116659</v>
      </c>
      <c r="J280" s="4">
        <f t="shared" si="47"/>
        <v>-4.8695480825594953E-2</v>
      </c>
      <c r="K280" s="4">
        <v>4.8695480825595001E-2</v>
      </c>
    </row>
    <row r="281" spans="2:11" x14ac:dyDescent="0.25">
      <c r="B281" s="2" t="s">
        <v>3</v>
      </c>
      <c r="C281" s="11">
        <v>2023</v>
      </c>
      <c r="D281" s="11">
        <v>26</v>
      </c>
      <c r="E281" s="4">
        <f t="shared" si="42"/>
        <v>27.607390746189726</v>
      </c>
      <c r="F281" s="4">
        <f t="shared" si="43"/>
        <v>26.581548412386372</v>
      </c>
      <c r="G281" s="4">
        <f t="shared" si="49"/>
        <v>28.633233079993079</v>
      </c>
      <c r="H281" s="4">
        <f t="shared" si="45"/>
        <v>0.11398248153370598</v>
      </c>
      <c r="I281" s="4">
        <f t="shared" si="48"/>
        <v>29.250905037028485</v>
      </c>
      <c r="J281" s="4">
        <f t="shared" si="47"/>
        <v>-0.12503480911648018</v>
      </c>
      <c r="K281" s="4">
        <v>0.12503480911647999</v>
      </c>
    </row>
    <row r="282" spans="2:11" x14ac:dyDescent="0.25">
      <c r="B282" s="2" t="s">
        <v>5</v>
      </c>
      <c r="C282" s="11">
        <v>2023</v>
      </c>
      <c r="D282" s="11">
        <v>24</v>
      </c>
      <c r="E282" s="4">
        <f t="shared" si="42"/>
        <v>27.246651671570753</v>
      </c>
      <c r="F282" s="4">
        <f t="shared" si="43"/>
        <v>26.648058738304812</v>
      </c>
      <c r="G282" s="4">
        <f t="shared" si="49"/>
        <v>27.845244604836694</v>
      </c>
      <c r="H282" s="4">
        <f t="shared" si="45"/>
        <v>6.651032591843789E-2</v>
      </c>
      <c r="I282" s="4">
        <f t="shared" si="48"/>
        <v>28.747215561526787</v>
      </c>
      <c r="J282" s="4">
        <f t="shared" si="47"/>
        <v>-0.19780064839694944</v>
      </c>
      <c r="K282" s="4">
        <v>0.197800648396949</v>
      </c>
    </row>
    <row r="283" spans="2:11" x14ac:dyDescent="0.25">
      <c r="B283" s="2" t="s">
        <v>6</v>
      </c>
      <c r="C283" s="11">
        <v>2023</v>
      </c>
      <c r="D283" s="11">
        <v>20</v>
      </c>
      <c r="E283" s="4">
        <f t="shared" si="42"/>
        <v>26.521986504413679</v>
      </c>
      <c r="F283" s="4">
        <f t="shared" si="43"/>
        <v>26.635451514915697</v>
      </c>
      <c r="G283" s="4">
        <f t="shared" si="49"/>
        <v>26.40852149391166</v>
      </c>
      <c r="H283" s="4">
        <f t="shared" si="45"/>
        <v>-1.260722338911317E-2</v>
      </c>
      <c r="I283" s="4">
        <f t="shared" si="48"/>
        <v>27.91175493075513</v>
      </c>
      <c r="J283" s="4">
        <f t="shared" si="47"/>
        <v>-0.39558774653775652</v>
      </c>
      <c r="K283" s="4">
        <v>0.39558774653775702</v>
      </c>
    </row>
    <row r="284" spans="2:11" x14ac:dyDescent="0.25">
      <c r="B284" s="2" t="s">
        <v>7</v>
      </c>
      <c r="C284" s="11">
        <v>2024</v>
      </c>
      <c r="D284" s="11">
        <v>22</v>
      </c>
      <c r="E284" s="4">
        <f t="shared" si="42"/>
        <v>26.069787853972311</v>
      </c>
      <c r="F284" s="4">
        <f t="shared" si="43"/>
        <v>26.57888514882136</v>
      </c>
      <c r="G284" s="4">
        <f t="shared" si="49"/>
        <v>25.560690559123262</v>
      </c>
      <c r="H284" s="4">
        <f t="shared" si="45"/>
        <v>-5.6566366094338766E-2</v>
      </c>
      <c r="I284" s="4">
        <f t="shared" si="48"/>
        <v>26.395914270522546</v>
      </c>
      <c r="J284" s="4">
        <f t="shared" si="47"/>
        <v>-0.19981428502375209</v>
      </c>
      <c r="K284" s="4">
        <v>0.19981428502375201</v>
      </c>
    </row>
    <row r="285" spans="2:11" x14ac:dyDescent="0.25">
      <c r="B285" s="2" t="s">
        <v>8</v>
      </c>
      <c r="C285" s="11">
        <v>2024</v>
      </c>
      <c r="D285" s="11">
        <v>19</v>
      </c>
      <c r="E285" s="4">
        <f t="shared" si="42"/>
        <v>25.362809068575078</v>
      </c>
      <c r="F285" s="4">
        <f t="shared" si="43"/>
        <v>26.457277540796731</v>
      </c>
      <c r="G285" s="4">
        <f t="shared" si="49"/>
        <v>24.268340596353426</v>
      </c>
      <c r="H285" s="4">
        <f t="shared" si="45"/>
        <v>-0.12160760802462811</v>
      </c>
      <c r="I285" s="4">
        <f t="shared" si="48"/>
        <v>25.504124193028925</v>
      </c>
      <c r="J285" s="4">
        <f t="shared" si="47"/>
        <v>-0.34232232594889078</v>
      </c>
      <c r="K285" s="4">
        <v>0.342322325948891</v>
      </c>
    </row>
    <row r="286" spans="2:11" x14ac:dyDescent="0.25">
      <c r="B286" s="2" t="s">
        <v>9</v>
      </c>
      <c r="C286" s="11">
        <v>2024</v>
      </c>
      <c r="D286" s="11">
        <v>31</v>
      </c>
      <c r="E286" s="4">
        <f t="shared" si="42"/>
        <v>25.926528161717574</v>
      </c>
      <c r="F286" s="4">
        <f t="shared" si="43"/>
        <v>26.404202602888816</v>
      </c>
      <c r="G286" s="4">
        <f t="shared" si="49"/>
        <v>25.448853720546332</v>
      </c>
      <c r="H286" s="4">
        <f t="shared" si="45"/>
        <v>-5.3074937907915794E-2</v>
      </c>
      <c r="I286" s="4">
        <f t="shared" si="48"/>
        <v>24.146732988328797</v>
      </c>
      <c r="J286" s="4">
        <f t="shared" si="47"/>
        <v>0.22107312940874849</v>
      </c>
      <c r="K286" s="4">
        <v>0.22107312940874849</v>
      </c>
    </row>
    <row r="287" spans="2:11" x14ac:dyDescent="0.25">
      <c r="B287" s="2" t="s">
        <v>10</v>
      </c>
      <c r="C287" s="11">
        <v>2024</v>
      </c>
      <c r="D287" s="11">
        <v>34</v>
      </c>
      <c r="E287" s="4">
        <f t="shared" si="42"/>
        <v>26.733875345545819</v>
      </c>
      <c r="F287" s="4">
        <f t="shared" si="43"/>
        <v>26.437169877154517</v>
      </c>
      <c r="G287" s="4">
        <f t="shared" si="49"/>
        <v>27.030580813937121</v>
      </c>
      <c r="H287" s="4">
        <f t="shared" si="45"/>
        <v>3.2967274265700224E-2</v>
      </c>
      <c r="I287" s="4">
        <f t="shared" si="48"/>
        <v>25.395778782638416</v>
      </c>
      <c r="J287" s="4">
        <f t="shared" si="47"/>
        <v>0.2530653299223995</v>
      </c>
      <c r="K287" s="4">
        <v>0.2530653299223995</v>
      </c>
    </row>
    <row r="288" spans="2:11" x14ac:dyDescent="0.25">
      <c r="B288" s="2" t="s">
        <v>11</v>
      </c>
      <c r="C288" s="11">
        <v>2024</v>
      </c>
      <c r="D288" s="11">
        <v>36</v>
      </c>
      <c r="E288" s="4">
        <f t="shared" si="42"/>
        <v>27.660487810991238</v>
      </c>
      <c r="F288" s="4">
        <f t="shared" si="43"/>
        <v>26.559501670538189</v>
      </c>
      <c r="G288" s="4">
        <f t="shared" si="49"/>
        <v>28.761473951444287</v>
      </c>
      <c r="H288" s="4">
        <f t="shared" si="45"/>
        <v>0.12233179338367212</v>
      </c>
      <c r="I288" s="4">
        <f t="shared" si="48"/>
        <v>27.063548088202822</v>
      </c>
      <c r="J288" s="4">
        <f t="shared" si="47"/>
        <v>0.24823477532769939</v>
      </c>
      <c r="K288" s="4">
        <v>0.24823477532769939</v>
      </c>
    </row>
    <row r="289" spans="2:11" x14ac:dyDescent="0.25">
      <c r="B289" s="2" t="s">
        <v>12</v>
      </c>
      <c r="C289" s="11">
        <v>2024</v>
      </c>
      <c r="D289" s="11">
        <v>38</v>
      </c>
      <c r="E289" s="4">
        <f t="shared" si="42"/>
        <v>28.694439029892116</v>
      </c>
      <c r="F289" s="4">
        <f t="shared" si="43"/>
        <v>26.772995406473584</v>
      </c>
      <c r="G289" s="4">
        <f t="shared" si="49"/>
        <v>30.615882653310649</v>
      </c>
      <c r="H289" s="4">
        <f t="shared" si="45"/>
        <v>0.21349373593539256</v>
      </c>
      <c r="I289" s="4">
        <f t="shared" si="48"/>
        <v>28.88380574482796</v>
      </c>
      <c r="J289" s="4">
        <f t="shared" si="47"/>
        <v>0.23989984882031684</v>
      </c>
      <c r="K289" s="4">
        <v>0.23989984882031684</v>
      </c>
    </row>
    <row r="290" spans="2:11" x14ac:dyDescent="0.25">
      <c r="B290" s="2" t="s">
        <v>13</v>
      </c>
      <c r="C290" s="12">
        <v>2024</v>
      </c>
      <c r="D290" s="12">
        <v>40</v>
      </c>
      <c r="E290" s="4">
        <f t="shared" si="42"/>
        <v>29.824995126902905</v>
      </c>
      <c r="F290" s="4">
        <f t="shared" si="43"/>
        <v>27.078195378516519</v>
      </c>
      <c r="G290" s="4">
        <f t="shared" si="49"/>
        <v>32.571794875289292</v>
      </c>
      <c r="H290" s="4">
        <f t="shared" si="45"/>
        <v>0.30519997204293187</v>
      </c>
      <c r="I290" s="4">
        <f t="shared" si="48"/>
        <v>30.829376389246043</v>
      </c>
      <c r="J290" s="4">
        <f t="shared" si="47"/>
        <v>0.22926559026884891</v>
      </c>
      <c r="K290" s="4">
        <v>0.22926559026884891</v>
      </c>
    </row>
    <row r="291" spans="2:11" x14ac:dyDescent="0.25">
      <c r="B291" s="8" t="s">
        <v>2</v>
      </c>
      <c r="C291" s="13">
        <v>2024</v>
      </c>
      <c r="D291" s="8"/>
      <c r="E291" s="10"/>
      <c r="F291" s="10"/>
      <c r="G291" s="10"/>
      <c r="H291" s="10"/>
      <c r="I291" s="9">
        <f t="shared" si="48"/>
        <v>32.876994847332227</v>
      </c>
      <c r="J291" s="14" t="s">
        <v>21</v>
      </c>
      <c r="K291" s="10">
        <f>100/36*SUM(K256:K290)</f>
        <v>16.888145542906081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Barokah</dc:creator>
  <cp:lastModifiedBy>Nur Barokah</cp:lastModifiedBy>
  <dcterms:created xsi:type="dcterms:W3CDTF">2024-05-28T06:05:08Z</dcterms:created>
  <dcterms:modified xsi:type="dcterms:W3CDTF">2024-08-20T09:51:08Z</dcterms:modified>
</cp:coreProperties>
</file>