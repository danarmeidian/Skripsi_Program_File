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AKU\Skripsi FIX\Data Forecas\"/>
    </mc:Choice>
  </mc:AlternateContent>
  <xr:revisionPtr revIDLastSave="0" documentId="13_ncr:1_{7B25464E-E5DE-4F92-B605-1E67B69A4141}" xr6:coauthVersionLast="47" xr6:coauthVersionMax="47" xr10:uidLastSave="{00000000-0000-0000-0000-000000000000}"/>
  <bookViews>
    <workbookView xWindow="-120" yWindow="-120" windowWidth="20730" windowHeight="11040" xr2:uid="{56AB9DFE-F6E5-44FC-AE47-A4828AF59333}"/>
  </bookViews>
  <sheets>
    <sheet name="Kaizenka Signature Ramen" sheetId="1" r:id="rId1"/>
    <sheet name="Sheet1" sheetId="8" r:id="rId2"/>
    <sheet name="Curry Ramen" sheetId="2" r:id="rId3"/>
    <sheet name="Miso Ramen" sheetId="3" r:id="rId4"/>
    <sheet name="Mango Milk" sheetId="4" r:id="rId5"/>
    <sheet name="Matcha Milk" sheetId="5" r:id="rId6"/>
    <sheet name="Hasil Prototype" sheetId="7" r:id="rId7"/>
    <sheet name="Data Penjualan Keseluruhan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1" l="1"/>
  <c r="T11" i="1"/>
  <c r="T10" i="1"/>
  <c r="T9" i="1"/>
  <c r="T8" i="1"/>
  <c r="T7" i="1"/>
  <c r="T6" i="1"/>
  <c r="T5" i="1"/>
  <c r="T4" i="1"/>
  <c r="F44" i="8"/>
  <c r="J44" i="8"/>
  <c r="K44" i="8" s="1"/>
  <c r="L44" i="8" s="1"/>
  <c r="J4" i="8"/>
  <c r="K4" i="8" s="1"/>
  <c r="L4" i="8" s="1"/>
  <c r="F4" i="8"/>
  <c r="E45" i="3"/>
  <c r="E46" i="3" s="1"/>
  <c r="I45" i="3"/>
  <c r="J45" i="3" s="1"/>
  <c r="K45" i="3" s="1"/>
  <c r="F125" i="4"/>
  <c r="F126" i="4" s="1"/>
  <c r="J125" i="4"/>
  <c r="K125" i="4" s="1"/>
  <c r="L125" i="4" s="1"/>
  <c r="F165" i="5"/>
  <c r="F166" i="5" s="1"/>
  <c r="F125" i="5"/>
  <c r="G125" i="5" s="1"/>
  <c r="I125" i="5" s="1"/>
  <c r="F86" i="5"/>
  <c r="F87" i="5" s="1"/>
  <c r="G85" i="5"/>
  <c r="G86" i="5" s="1"/>
  <c r="F85" i="5"/>
  <c r="J165" i="5"/>
  <c r="K165" i="5" s="1"/>
  <c r="L165" i="5" s="1"/>
  <c r="J125" i="5"/>
  <c r="K125" i="5" s="1"/>
  <c r="L125" i="5" s="1"/>
  <c r="J85" i="5"/>
  <c r="K85" i="5" s="1"/>
  <c r="L85" i="5" s="1"/>
  <c r="F85" i="4"/>
  <c r="F86" i="4" s="1"/>
  <c r="J85" i="4"/>
  <c r="K85" i="4" s="1"/>
  <c r="L85" i="4" s="1"/>
  <c r="G45" i="4"/>
  <c r="I45" i="4" s="1"/>
  <c r="F45" i="4"/>
  <c r="F46" i="4" s="1"/>
  <c r="J45" i="4"/>
  <c r="K45" i="4" s="1"/>
  <c r="L45" i="4" s="1"/>
  <c r="F45" i="5"/>
  <c r="F46" i="5" s="1"/>
  <c r="J45" i="5"/>
  <c r="K45" i="5" s="1"/>
  <c r="L45" i="5" s="1"/>
  <c r="F5" i="5"/>
  <c r="F6" i="5" s="1"/>
  <c r="E5" i="3"/>
  <c r="E6" i="3" s="1"/>
  <c r="J5" i="5"/>
  <c r="K5" i="5" s="1"/>
  <c r="L5" i="5" s="1"/>
  <c r="J5" i="3"/>
  <c r="K5" i="3" s="1"/>
  <c r="I5" i="3"/>
  <c r="E159" i="2"/>
  <c r="F159" i="2" s="1"/>
  <c r="I159" i="2"/>
  <c r="E126" i="2"/>
  <c r="F126" i="2" s="1"/>
  <c r="H126" i="2" s="1"/>
  <c r="I126" i="2"/>
  <c r="E127" i="2"/>
  <c r="H125" i="2"/>
  <c r="F125" i="2"/>
  <c r="E125" i="2"/>
  <c r="I125" i="2"/>
  <c r="J125" i="2" s="1"/>
  <c r="K125" i="2" s="1"/>
  <c r="E46" i="2"/>
  <c r="E45" i="2"/>
  <c r="G45" i="2"/>
  <c r="F45" i="2"/>
  <c r="J44" i="2"/>
  <c r="K79" i="2"/>
  <c r="I85" i="2"/>
  <c r="E85" i="2"/>
  <c r="E44" i="2"/>
  <c r="J85" i="2"/>
  <c r="K85" i="2" s="1"/>
  <c r="I44" i="2"/>
  <c r="K44" i="2" s="1"/>
  <c r="E5" i="2"/>
  <c r="F5" i="2" s="1"/>
  <c r="I5" i="2"/>
  <c r="J5" i="2" s="1"/>
  <c r="K5" i="2" s="1"/>
  <c r="E4" i="1"/>
  <c r="E5" i="1" s="1"/>
  <c r="I4" i="1"/>
  <c r="J4" i="1" s="1"/>
  <c r="K4" i="1" s="1"/>
  <c r="E129" i="1"/>
  <c r="E87" i="1"/>
  <c r="F87" i="1" s="1"/>
  <c r="E45" i="1"/>
  <c r="F45" i="1" s="1"/>
  <c r="I45" i="1"/>
  <c r="E130" i="1"/>
  <c r="E339" i="1"/>
  <c r="F339" i="1" s="1"/>
  <c r="G339" i="1" s="1"/>
  <c r="I339" i="1"/>
  <c r="J339" i="1" s="1"/>
  <c r="K339" i="1" s="1"/>
  <c r="E297" i="1"/>
  <c r="I297" i="1"/>
  <c r="J297" i="1" s="1"/>
  <c r="K297" i="1" s="1"/>
  <c r="I255" i="1"/>
  <c r="J255" i="1" s="1"/>
  <c r="K255" i="1" s="1"/>
  <c r="E255" i="1"/>
  <c r="E256" i="1" s="1"/>
  <c r="I213" i="1"/>
  <c r="J213" i="1" s="1"/>
  <c r="K213" i="1" s="1"/>
  <c r="E213" i="1"/>
  <c r="I171" i="1"/>
  <c r="J171" i="1" s="1"/>
  <c r="K171" i="1" s="1"/>
  <c r="E171" i="1"/>
  <c r="I129" i="1"/>
  <c r="J129" i="1" s="1"/>
  <c r="K129" i="1" s="1"/>
  <c r="I87" i="1"/>
  <c r="J87" i="1" s="1"/>
  <c r="K87" i="1" s="1"/>
  <c r="G44" i="8" l="1"/>
  <c r="I44" i="8" s="1"/>
  <c r="F45" i="8"/>
  <c r="H44" i="8"/>
  <c r="G4" i="8"/>
  <c r="H4" i="8" s="1"/>
  <c r="F5" i="8"/>
  <c r="H86" i="5"/>
  <c r="I85" i="5"/>
  <c r="F45" i="3"/>
  <c r="F46" i="3" s="1"/>
  <c r="E47" i="3"/>
  <c r="F87" i="4"/>
  <c r="F127" i="4"/>
  <c r="G85" i="4"/>
  <c r="I85" i="4" s="1"/>
  <c r="G125" i="4"/>
  <c r="I125" i="4" s="1"/>
  <c r="H125" i="4"/>
  <c r="J126" i="4" s="1"/>
  <c r="H85" i="5"/>
  <c r="J86" i="5" s="1"/>
  <c r="F88" i="5"/>
  <c r="I86" i="5"/>
  <c r="J87" i="5" s="1"/>
  <c r="F126" i="5"/>
  <c r="G126" i="5" s="1"/>
  <c r="G87" i="5"/>
  <c r="H87" i="5" s="1"/>
  <c r="F167" i="5"/>
  <c r="G165" i="5"/>
  <c r="G166" i="5" s="1"/>
  <c r="F168" i="5"/>
  <c r="H126" i="5"/>
  <c r="F127" i="5"/>
  <c r="G46" i="4"/>
  <c r="H46" i="4" s="1"/>
  <c r="F47" i="4"/>
  <c r="G47" i="4" s="1"/>
  <c r="H47" i="4" s="1"/>
  <c r="I46" i="4"/>
  <c r="H45" i="4"/>
  <c r="J46" i="4" s="1"/>
  <c r="K46" i="4" s="1"/>
  <c r="G45" i="5"/>
  <c r="G46" i="5" s="1"/>
  <c r="F47" i="5"/>
  <c r="F48" i="5" s="1"/>
  <c r="F7" i="5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G5" i="5"/>
  <c r="G6" i="5" s="1"/>
  <c r="F5" i="3"/>
  <c r="H5" i="3" s="1"/>
  <c r="E7" i="3"/>
  <c r="G5" i="3"/>
  <c r="I6" i="3" s="1"/>
  <c r="H159" i="2"/>
  <c r="G159" i="2"/>
  <c r="E128" i="2"/>
  <c r="F127" i="2"/>
  <c r="G127" i="2" s="1"/>
  <c r="G126" i="2"/>
  <c r="I127" i="2" s="1"/>
  <c r="E86" i="2"/>
  <c r="F85" i="2"/>
  <c r="H85" i="2" s="1"/>
  <c r="H5" i="2"/>
  <c r="F44" i="2"/>
  <c r="G44" i="2" s="1"/>
  <c r="E6" i="2"/>
  <c r="G85" i="2"/>
  <c r="G5" i="2"/>
  <c r="I6" i="2" s="1"/>
  <c r="F4" i="1"/>
  <c r="F5" i="1" s="1"/>
  <c r="E6" i="1"/>
  <c r="E131" i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J45" i="1"/>
  <c r="K45" i="1" s="1"/>
  <c r="H87" i="1"/>
  <c r="E46" i="1"/>
  <c r="H45" i="1"/>
  <c r="E88" i="1"/>
  <c r="F129" i="1"/>
  <c r="H129" i="1" s="1"/>
  <c r="F213" i="1"/>
  <c r="H213" i="1" s="1"/>
  <c r="E214" i="1"/>
  <c r="F297" i="1"/>
  <c r="H297" i="1" s="1"/>
  <c r="E340" i="1"/>
  <c r="E341" i="1" s="1"/>
  <c r="E172" i="1"/>
  <c r="F171" i="1"/>
  <c r="H171" i="1" s="1"/>
  <c r="E257" i="1"/>
  <c r="F255" i="1"/>
  <c r="G255" i="1" s="1"/>
  <c r="H339" i="1"/>
  <c r="E298" i="1"/>
  <c r="J45" i="8" l="1"/>
  <c r="K45" i="8" s="1"/>
  <c r="L45" i="8" s="1"/>
  <c r="G45" i="8"/>
  <c r="F46" i="8"/>
  <c r="I4" i="8"/>
  <c r="J5" i="8" s="1"/>
  <c r="K5" i="8" s="1"/>
  <c r="L5" i="8" s="1"/>
  <c r="I45" i="8"/>
  <c r="H45" i="8"/>
  <c r="F6" i="8"/>
  <c r="G5" i="8"/>
  <c r="I5" i="8" s="1"/>
  <c r="H46" i="3"/>
  <c r="I47" i="3" s="1"/>
  <c r="J47" i="3" s="1"/>
  <c r="K47" i="3" s="1"/>
  <c r="G46" i="3"/>
  <c r="H45" i="3"/>
  <c r="F47" i="3"/>
  <c r="H47" i="3" s="1"/>
  <c r="E48" i="3"/>
  <c r="G45" i="3"/>
  <c r="F128" i="4"/>
  <c r="G127" i="4"/>
  <c r="I127" i="4" s="1"/>
  <c r="H127" i="4"/>
  <c r="F88" i="4"/>
  <c r="F48" i="4"/>
  <c r="G126" i="4"/>
  <c r="G86" i="4"/>
  <c r="G87" i="4" s="1"/>
  <c r="K126" i="4"/>
  <c r="L126" i="4" s="1"/>
  <c r="F89" i="5"/>
  <c r="G88" i="5"/>
  <c r="H88" i="5" s="1"/>
  <c r="I87" i="5"/>
  <c r="J88" i="5" s="1"/>
  <c r="I126" i="5"/>
  <c r="H166" i="5"/>
  <c r="I166" i="5"/>
  <c r="G167" i="5"/>
  <c r="I165" i="5"/>
  <c r="F169" i="5"/>
  <c r="G127" i="5"/>
  <c r="I127" i="5" s="1"/>
  <c r="F128" i="5"/>
  <c r="J127" i="5"/>
  <c r="H165" i="5"/>
  <c r="H125" i="5"/>
  <c r="K86" i="5"/>
  <c r="L86" i="5" s="1"/>
  <c r="H85" i="4"/>
  <c r="J47" i="4"/>
  <c r="K47" i="4" s="1"/>
  <c r="G48" i="4"/>
  <c r="H48" i="4" s="1"/>
  <c r="F49" i="4"/>
  <c r="I47" i="4"/>
  <c r="J48" i="4" s="1"/>
  <c r="K48" i="4" s="1"/>
  <c r="L46" i="4"/>
  <c r="H46" i="5"/>
  <c r="I46" i="5"/>
  <c r="G47" i="5"/>
  <c r="H47" i="5" s="1"/>
  <c r="H45" i="5"/>
  <c r="I45" i="5"/>
  <c r="F49" i="5"/>
  <c r="G48" i="5"/>
  <c r="H48" i="5" s="1"/>
  <c r="I47" i="5"/>
  <c r="J48" i="5" s="1"/>
  <c r="K48" i="5" s="1"/>
  <c r="H5" i="5"/>
  <c r="J6" i="5" s="1"/>
  <c r="K6" i="5" s="1"/>
  <c r="L6" i="5" s="1"/>
  <c r="I5" i="5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I6" i="5"/>
  <c r="H6" i="5"/>
  <c r="F6" i="3"/>
  <c r="F7" i="3" s="1"/>
  <c r="G7" i="3" s="1"/>
  <c r="E8" i="3"/>
  <c r="J6" i="3"/>
  <c r="K6" i="3" s="1"/>
  <c r="F128" i="2"/>
  <c r="G128" i="2" s="1"/>
  <c r="E129" i="2"/>
  <c r="H127" i="2"/>
  <c r="I128" i="2" s="1"/>
  <c r="G125" i="2"/>
  <c r="J126" i="2" s="1"/>
  <c r="K126" i="2" s="1"/>
  <c r="F46" i="2"/>
  <c r="G46" i="2" s="1"/>
  <c r="I86" i="2"/>
  <c r="J86" i="2" s="1"/>
  <c r="K86" i="2" s="1"/>
  <c r="G86" i="2"/>
  <c r="E87" i="2"/>
  <c r="F86" i="2"/>
  <c r="H86" i="2" s="1"/>
  <c r="H44" i="2"/>
  <c r="H45" i="2"/>
  <c r="E47" i="2"/>
  <c r="F6" i="2"/>
  <c r="G6" i="2" s="1"/>
  <c r="E7" i="2"/>
  <c r="I45" i="2"/>
  <c r="J45" i="2" s="1"/>
  <c r="K45" i="2" s="1"/>
  <c r="J6" i="2"/>
  <c r="K6" i="2" s="1"/>
  <c r="H5" i="1"/>
  <c r="G5" i="1"/>
  <c r="H4" i="1"/>
  <c r="F6" i="1"/>
  <c r="E7" i="1"/>
  <c r="G4" i="1"/>
  <c r="G45" i="1"/>
  <c r="I46" i="1" s="1"/>
  <c r="J46" i="1" s="1"/>
  <c r="K46" i="1" s="1"/>
  <c r="G129" i="1"/>
  <c r="I130" i="1" s="1"/>
  <c r="J130" i="1" s="1"/>
  <c r="K130" i="1" s="1"/>
  <c r="F46" i="1"/>
  <c r="H46" i="1" s="1"/>
  <c r="E47" i="1"/>
  <c r="E89" i="1"/>
  <c r="F88" i="1"/>
  <c r="H88" i="1" s="1"/>
  <c r="F130" i="1"/>
  <c r="H130" i="1" s="1"/>
  <c r="F214" i="1"/>
  <c r="H214" i="1" s="1"/>
  <c r="F340" i="1"/>
  <c r="H340" i="1" s="1"/>
  <c r="G297" i="1"/>
  <c r="I298" i="1" s="1"/>
  <c r="J298" i="1" s="1"/>
  <c r="K298" i="1" s="1"/>
  <c r="E215" i="1"/>
  <c r="E216" i="1" s="1"/>
  <c r="G213" i="1"/>
  <c r="I214" i="1" s="1"/>
  <c r="J214" i="1" s="1"/>
  <c r="K214" i="1" s="1"/>
  <c r="G87" i="1"/>
  <c r="G171" i="1"/>
  <c r="I172" i="1" s="1"/>
  <c r="J172" i="1" s="1"/>
  <c r="K172" i="1" s="1"/>
  <c r="H255" i="1"/>
  <c r="I256" i="1" s="1"/>
  <c r="J256" i="1" s="1"/>
  <c r="K256" i="1" s="1"/>
  <c r="F172" i="1"/>
  <c r="H172" i="1" s="1"/>
  <c r="E173" i="1"/>
  <c r="E258" i="1"/>
  <c r="F298" i="1"/>
  <c r="H298" i="1" s="1"/>
  <c r="E299" i="1"/>
  <c r="F256" i="1"/>
  <c r="H256" i="1" s="1"/>
  <c r="E342" i="1"/>
  <c r="I340" i="1"/>
  <c r="J340" i="1" s="1"/>
  <c r="K340" i="1" s="1"/>
  <c r="J46" i="8" l="1"/>
  <c r="K46" i="8" s="1"/>
  <c r="L46" i="8" s="1"/>
  <c r="G46" i="8"/>
  <c r="F47" i="8"/>
  <c r="I46" i="8"/>
  <c r="H46" i="8"/>
  <c r="H5" i="8"/>
  <c r="J6" i="8" s="1"/>
  <c r="K6" i="8" s="1"/>
  <c r="L6" i="8" s="1"/>
  <c r="F7" i="8"/>
  <c r="G6" i="8"/>
  <c r="H6" i="8" s="1"/>
  <c r="J167" i="5"/>
  <c r="K167" i="5" s="1"/>
  <c r="L167" i="5" s="1"/>
  <c r="G47" i="3"/>
  <c r="I46" i="3"/>
  <c r="J46" i="3" s="1"/>
  <c r="K46" i="3" s="1"/>
  <c r="E49" i="3"/>
  <c r="F48" i="3"/>
  <c r="G48" i="3" s="1"/>
  <c r="I48" i="3"/>
  <c r="J48" i="3"/>
  <c r="K48" i="3" s="1"/>
  <c r="I87" i="4"/>
  <c r="H87" i="4"/>
  <c r="J88" i="4" s="1"/>
  <c r="J128" i="4"/>
  <c r="K86" i="4"/>
  <c r="L86" i="4" s="1"/>
  <c r="J86" i="4"/>
  <c r="H126" i="4"/>
  <c r="I126" i="4"/>
  <c r="H88" i="4"/>
  <c r="G88" i="4"/>
  <c r="F89" i="4"/>
  <c r="I88" i="4"/>
  <c r="H128" i="4"/>
  <c r="G128" i="4"/>
  <c r="F129" i="4"/>
  <c r="I128" i="4"/>
  <c r="H86" i="4"/>
  <c r="J87" i="4" s="1"/>
  <c r="I86" i="4"/>
  <c r="I48" i="4"/>
  <c r="G89" i="5"/>
  <c r="H89" i="5"/>
  <c r="F90" i="5"/>
  <c r="I89" i="5"/>
  <c r="J126" i="5"/>
  <c r="K126" i="5" s="1"/>
  <c r="L126" i="5" s="1"/>
  <c r="I88" i="5"/>
  <c r="J89" i="5" s="1"/>
  <c r="H167" i="5"/>
  <c r="I167" i="5"/>
  <c r="G168" i="5"/>
  <c r="H168" i="5" s="1"/>
  <c r="J166" i="5"/>
  <c r="K166" i="5" s="1"/>
  <c r="L166" i="5" s="1"/>
  <c r="F170" i="5"/>
  <c r="I128" i="5"/>
  <c r="G128" i="5"/>
  <c r="H128" i="5" s="1"/>
  <c r="F129" i="5"/>
  <c r="H127" i="5"/>
  <c r="J128" i="5" s="1"/>
  <c r="K87" i="5"/>
  <c r="L87" i="5" s="1"/>
  <c r="K88" i="4"/>
  <c r="L88" i="4" s="1"/>
  <c r="J49" i="4"/>
  <c r="K49" i="4" s="1"/>
  <c r="F50" i="4"/>
  <c r="G49" i="4"/>
  <c r="H49" i="4" s="1"/>
  <c r="L47" i="4"/>
  <c r="J46" i="5"/>
  <c r="K46" i="5" s="1"/>
  <c r="L46" i="5" s="1"/>
  <c r="J47" i="5"/>
  <c r="K47" i="5" s="1"/>
  <c r="L47" i="5" s="1"/>
  <c r="I48" i="5"/>
  <c r="J49" i="5" s="1"/>
  <c r="K49" i="5" s="1"/>
  <c r="F50" i="5"/>
  <c r="G49" i="5"/>
  <c r="H49" i="5" s="1"/>
  <c r="L48" i="5"/>
  <c r="J7" i="5"/>
  <c r="K7" i="5" s="1"/>
  <c r="L7" i="5" s="1"/>
  <c r="I7" i="5"/>
  <c r="H7" i="5"/>
  <c r="H8" i="5"/>
  <c r="H6" i="3"/>
  <c r="G6" i="3"/>
  <c r="H7" i="3"/>
  <c r="I8" i="3" s="1"/>
  <c r="F8" i="3"/>
  <c r="H8" i="3" s="1"/>
  <c r="E9" i="3"/>
  <c r="H128" i="2"/>
  <c r="I129" i="2" s="1"/>
  <c r="F129" i="2"/>
  <c r="G129" i="2" s="1"/>
  <c r="E130" i="2"/>
  <c r="J127" i="2"/>
  <c r="K127" i="2" s="1"/>
  <c r="I87" i="2"/>
  <c r="F87" i="2"/>
  <c r="G87" i="2" s="1"/>
  <c r="E88" i="2"/>
  <c r="H46" i="2"/>
  <c r="E48" i="2"/>
  <c r="F47" i="2"/>
  <c r="H47" i="2" s="1"/>
  <c r="E8" i="2"/>
  <c r="F7" i="2"/>
  <c r="H7" i="2" s="1"/>
  <c r="H6" i="2"/>
  <c r="I7" i="2" s="1"/>
  <c r="J7" i="2" s="1"/>
  <c r="K7" i="2" s="1"/>
  <c r="I46" i="2"/>
  <c r="J46" i="2" s="1"/>
  <c r="K46" i="2" s="1"/>
  <c r="J87" i="2"/>
  <c r="K87" i="2" s="1"/>
  <c r="I5" i="1"/>
  <c r="J5" i="1" s="1"/>
  <c r="K5" i="1" s="1"/>
  <c r="E8" i="1"/>
  <c r="F7" i="1"/>
  <c r="H7" i="1" s="1"/>
  <c r="H6" i="1"/>
  <c r="G6" i="1"/>
  <c r="I6" i="1"/>
  <c r="J6" i="1" s="1"/>
  <c r="K6" i="1" s="1"/>
  <c r="G88" i="1"/>
  <c r="F47" i="1"/>
  <c r="H47" i="1" s="1"/>
  <c r="E48" i="1"/>
  <c r="E90" i="1"/>
  <c r="F89" i="1"/>
  <c r="G89" i="1" s="1"/>
  <c r="G46" i="1"/>
  <c r="I47" i="1" s="1"/>
  <c r="J47" i="1" s="1"/>
  <c r="K47" i="1" s="1"/>
  <c r="F341" i="1"/>
  <c r="H341" i="1" s="1"/>
  <c r="F215" i="1"/>
  <c r="H215" i="1" s="1"/>
  <c r="I88" i="1"/>
  <c r="J88" i="1" s="1"/>
  <c r="K88" i="1" s="1"/>
  <c r="F299" i="1"/>
  <c r="H299" i="1" s="1"/>
  <c r="E300" i="1"/>
  <c r="E343" i="1"/>
  <c r="F173" i="1"/>
  <c r="H173" i="1" s="1"/>
  <c r="E174" i="1"/>
  <c r="E217" i="1"/>
  <c r="E259" i="1"/>
  <c r="I89" i="1"/>
  <c r="J89" i="1" s="1"/>
  <c r="K89" i="1" s="1"/>
  <c r="F131" i="1"/>
  <c r="H131" i="1" s="1"/>
  <c r="F257" i="1"/>
  <c r="H257" i="1" s="1"/>
  <c r="G340" i="1"/>
  <c r="I341" i="1" s="1"/>
  <c r="J341" i="1" s="1"/>
  <c r="K341" i="1" s="1"/>
  <c r="G298" i="1"/>
  <c r="I299" i="1" s="1"/>
  <c r="J299" i="1" s="1"/>
  <c r="K299" i="1" s="1"/>
  <c r="G256" i="1"/>
  <c r="I257" i="1" s="1"/>
  <c r="J257" i="1" s="1"/>
  <c r="K257" i="1" s="1"/>
  <c r="G214" i="1"/>
  <c r="I215" i="1" s="1"/>
  <c r="J215" i="1" s="1"/>
  <c r="K215" i="1" s="1"/>
  <c r="G172" i="1"/>
  <c r="I173" i="1" s="1"/>
  <c r="J173" i="1" s="1"/>
  <c r="K173" i="1" s="1"/>
  <c r="G130" i="1"/>
  <c r="I131" i="1" s="1"/>
  <c r="J131" i="1" s="1"/>
  <c r="K131" i="1" s="1"/>
  <c r="J47" i="8" l="1"/>
  <c r="K47" i="8" s="1"/>
  <c r="L47" i="8" s="1"/>
  <c r="G47" i="8"/>
  <c r="F48" i="8"/>
  <c r="I47" i="8"/>
  <c r="H47" i="8"/>
  <c r="G7" i="8"/>
  <c r="H7" i="8" s="1"/>
  <c r="F8" i="8"/>
  <c r="I6" i="8"/>
  <c r="J7" i="8" s="1"/>
  <c r="K7" i="8" s="1"/>
  <c r="L7" i="8" s="1"/>
  <c r="J129" i="5"/>
  <c r="H48" i="3"/>
  <c r="I49" i="3" s="1"/>
  <c r="J49" i="3" s="1"/>
  <c r="K49" i="3" s="1"/>
  <c r="F49" i="3"/>
  <c r="H49" i="3" s="1"/>
  <c r="E50" i="3"/>
  <c r="J129" i="4"/>
  <c r="G129" i="4"/>
  <c r="I129" i="4"/>
  <c r="H129" i="4"/>
  <c r="J130" i="4" s="1"/>
  <c r="F130" i="4"/>
  <c r="G89" i="4"/>
  <c r="I89" i="4" s="1"/>
  <c r="F90" i="4"/>
  <c r="H89" i="4"/>
  <c r="J127" i="4"/>
  <c r="K127" i="4" s="1"/>
  <c r="L127" i="4" s="1"/>
  <c r="J89" i="4"/>
  <c r="K128" i="4"/>
  <c r="L128" i="4" s="1"/>
  <c r="G90" i="5"/>
  <c r="I90" i="5" s="1"/>
  <c r="H90" i="5"/>
  <c r="J91" i="5" s="1"/>
  <c r="F91" i="5"/>
  <c r="J90" i="5"/>
  <c r="G169" i="5"/>
  <c r="H169" i="5" s="1"/>
  <c r="I168" i="5"/>
  <c r="J169" i="5" s="1"/>
  <c r="K169" i="5" s="1"/>
  <c r="L169" i="5" s="1"/>
  <c r="J168" i="5"/>
  <c r="K168" i="5" s="1"/>
  <c r="L168" i="5" s="1"/>
  <c r="G170" i="5"/>
  <c r="I170" i="5" s="1"/>
  <c r="F171" i="5"/>
  <c r="I169" i="5"/>
  <c r="J170" i="5" s="1"/>
  <c r="K170" i="5" s="1"/>
  <c r="L170" i="5" s="1"/>
  <c r="G129" i="5"/>
  <c r="H129" i="5" s="1"/>
  <c r="F130" i="5"/>
  <c r="K127" i="5"/>
  <c r="L127" i="5" s="1"/>
  <c r="K88" i="5"/>
  <c r="L88" i="5" s="1"/>
  <c r="K89" i="4"/>
  <c r="L89" i="4" s="1"/>
  <c r="K87" i="4"/>
  <c r="L87" i="4" s="1"/>
  <c r="I49" i="4"/>
  <c r="J50" i="4" s="1"/>
  <c r="K50" i="4" s="1"/>
  <c r="G50" i="4"/>
  <c r="H50" i="4" s="1"/>
  <c r="F51" i="4"/>
  <c r="L48" i="4"/>
  <c r="I49" i="5"/>
  <c r="J50" i="5" s="1"/>
  <c r="K50" i="5" s="1"/>
  <c r="F51" i="5"/>
  <c r="G50" i="5"/>
  <c r="H50" i="5" s="1"/>
  <c r="L49" i="5"/>
  <c r="J8" i="5"/>
  <c r="K8" i="5" s="1"/>
  <c r="L8" i="5" s="1"/>
  <c r="I8" i="5"/>
  <c r="J9" i="5" s="1"/>
  <c r="K9" i="5" s="1"/>
  <c r="L9" i="5" s="1"/>
  <c r="I9" i="5"/>
  <c r="H9" i="5"/>
  <c r="G8" i="3"/>
  <c r="I9" i="3" s="1"/>
  <c r="J9" i="3" s="1"/>
  <c r="K9" i="3" s="1"/>
  <c r="I7" i="3"/>
  <c r="J7" i="3" s="1"/>
  <c r="K7" i="3" s="1"/>
  <c r="F9" i="3"/>
  <c r="G9" i="3" s="1"/>
  <c r="E10" i="3"/>
  <c r="J8" i="3"/>
  <c r="K8" i="3" s="1"/>
  <c r="H129" i="2"/>
  <c r="I130" i="2" s="1"/>
  <c r="F130" i="2"/>
  <c r="G130" i="2" s="1"/>
  <c r="E131" i="2"/>
  <c r="J128" i="2"/>
  <c r="K128" i="2" s="1"/>
  <c r="H87" i="2"/>
  <c r="I88" i="2" s="1"/>
  <c r="J88" i="2" s="1"/>
  <c r="K88" i="2" s="1"/>
  <c r="E89" i="2"/>
  <c r="F88" i="2"/>
  <c r="H88" i="2"/>
  <c r="G88" i="2"/>
  <c r="I89" i="2" s="1"/>
  <c r="G47" i="2"/>
  <c r="E9" i="2"/>
  <c r="F8" i="2"/>
  <c r="G8" i="2" s="1"/>
  <c r="E49" i="2"/>
  <c r="F48" i="2"/>
  <c r="H48" i="2" s="1"/>
  <c r="G7" i="2"/>
  <c r="I47" i="2"/>
  <c r="J47" i="2" s="1"/>
  <c r="K47" i="2" s="1"/>
  <c r="I8" i="2"/>
  <c r="J8" i="2" s="1"/>
  <c r="K8" i="2" s="1"/>
  <c r="I7" i="1"/>
  <c r="J7" i="1" s="1"/>
  <c r="K7" i="1" s="1"/>
  <c r="G7" i="1"/>
  <c r="I8" i="1" s="1"/>
  <c r="J8" i="1" s="1"/>
  <c r="K8" i="1" s="1"/>
  <c r="E9" i="1"/>
  <c r="F8" i="1"/>
  <c r="H8" i="1" s="1"/>
  <c r="F216" i="1"/>
  <c r="H216" i="1" s="1"/>
  <c r="G47" i="1"/>
  <c r="I48" i="1" s="1"/>
  <c r="J48" i="1" s="1"/>
  <c r="K48" i="1" s="1"/>
  <c r="F342" i="1"/>
  <c r="H342" i="1" s="1"/>
  <c r="E91" i="1"/>
  <c r="F90" i="1"/>
  <c r="G90" i="1" s="1"/>
  <c r="F48" i="1"/>
  <c r="H48" i="1" s="1"/>
  <c r="H89" i="1"/>
  <c r="I90" i="1" s="1"/>
  <c r="J90" i="1" s="1"/>
  <c r="K90" i="1" s="1"/>
  <c r="E49" i="1"/>
  <c r="E218" i="1"/>
  <c r="F132" i="1"/>
  <c r="H132" i="1" s="1"/>
  <c r="E260" i="1"/>
  <c r="F300" i="1"/>
  <c r="H300" i="1" s="1"/>
  <c r="E301" i="1"/>
  <c r="F258" i="1"/>
  <c r="H258" i="1" s="1"/>
  <c r="F174" i="1"/>
  <c r="H174" i="1" s="1"/>
  <c r="E175" i="1"/>
  <c r="E344" i="1"/>
  <c r="G341" i="1"/>
  <c r="I342" i="1" s="1"/>
  <c r="J342" i="1" s="1"/>
  <c r="K342" i="1" s="1"/>
  <c r="G299" i="1"/>
  <c r="I300" i="1" s="1"/>
  <c r="J300" i="1" s="1"/>
  <c r="K300" i="1" s="1"/>
  <c r="G257" i="1"/>
  <c r="I258" i="1" s="1"/>
  <c r="J258" i="1" s="1"/>
  <c r="K258" i="1" s="1"/>
  <c r="G215" i="1"/>
  <c r="I216" i="1" s="1"/>
  <c r="J216" i="1" s="1"/>
  <c r="K216" i="1" s="1"/>
  <c r="G173" i="1"/>
  <c r="I174" i="1" s="1"/>
  <c r="J174" i="1" s="1"/>
  <c r="K174" i="1" s="1"/>
  <c r="G131" i="1"/>
  <c r="I132" i="1" s="1"/>
  <c r="J132" i="1" s="1"/>
  <c r="K132" i="1" s="1"/>
  <c r="I7" i="8" l="1"/>
  <c r="J48" i="8"/>
  <c r="K48" i="8" s="1"/>
  <c r="L48" i="8" s="1"/>
  <c r="G48" i="8"/>
  <c r="H48" i="8" s="1"/>
  <c r="F49" i="8"/>
  <c r="I48" i="8"/>
  <c r="J8" i="8"/>
  <c r="K8" i="8" s="1"/>
  <c r="L8" i="8" s="1"/>
  <c r="G8" i="8"/>
  <c r="H8" i="8" s="1"/>
  <c r="I8" i="8"/>
  <c r="F9" i="8"/>
  <c r="G49" i="3"/>
  <c r="I50" i="3" s="1"/>
  <c r="F50" i="3"/>
  <c r="H50" i="3" s="1"/>
  <c r="E51" i="3"/>
  <c r="G50" i="3"/>
  <c r="J50" i="3"/>
  <c r="K50" i="3" s="1"/>
  <c r="J90" i="4"/>
  <c r="F91" i="4"/>
  <c r="G90" i="4"/>
  <c r="H90" i="4" s="1"/>
  <c r="I90" i="4"/>
  <c r="J91" i="4" s="1"/>
  <c r="F131" i="4"/>
  <c r="G130" i="4"/>
  <c r="H130" i="4" s="1"/>
  <c r="K129" i="4"/>
  <c r="L129" i="4" s="1"/>
  <c r="G91" i="5"/>
  <c r="F92" i="5"/>
  <c r="H170" i="5"/>
  <c r="J171" i="5" s="1"/>
  <c r="K171" i="5" s="1"/>
  <c r="L171" i="5" s="1"/>
  <c r="G171" i="5"/>
  <c r="H171" i="5" s="1"/>
  <c r="F172" i="5"/>
  <c r="I129" i="5"/>
  <c r="J130" i="5" s="1"/>
  <c r="G130" i="5"/>
  <c r="I130" i="5" s="1"/>
  <c r="F131" i="5"/>
  <c r="H130" i="5"/>
  <c r="K128" i="5"/>
  <c r="L128" i="5" s="1"/>
  <c r="K89" i="5"/>
  <c r="L89" i="5" s="1"/>
  <c r="K90" i="4"/>
  <c r="L90" i="4" s="1"/>
  <c r="I50" i="4"/>
  <c r="J51" i="4" s="1"/>
  <c r="K51" i="4" s="1"/>
  <c r="F52" i="4"/>
  <c r="G51" i="4"/>
  <c r="I51" i="4" s="1"/>
  <c r="L49" i="4"/>
  <c r="F52" i="5"/>
  <c r="G51" i="5"/>
  <c r="I51" i="5" s="1"/>
  <c r="I50" i="5"/>
  <c r="J51" i="5" s="1"/>
  <c r="K51" i="5" s="1"/>
  <c r="L50" i="5"/>
  <c r="H10" i="5"/>
  <c r="J10" i="5"/>
  <c r="K10" i="5" s="1"/>
  <c r="L10" i="5" s="1"/>
  <c r="H9" i="3"/>
  <c r="I10" i="3" s="1"/>
  <c r="J10" i="3" s="1"/>
  <c r="K10" i="3" s="1"/>
  <c r="F10" i="3"/>
  <c r="G10" i="3" s="1"/>
  <c r="E11" i="3"/>
  <c r="H130" i="2"/>
  <c r="I131" i="2" s="1"/>
  <c r="F131" i="2"/>
  <c r="G131" i="2" s="1"/>
  <c r="E132" i="2"/>
  <c r="J129" i="2"/>
  <c r="K129" i="2" s="1"/>
  <c r="F89" i="2"/>
  <c r="G89" i="2" s="1"/>
  <c r="I90" i="2" s="1"/>
  <c r="E90" i="2"/>
  <c r="H89" i="2"/>
  <c r="H8" i="2"/>
  <c r="E50" i="2"/>
  <c r="F49" i="2"/>
  <c r="G49" i="2" s="1"/>
  <c r="J89" i="2"/>
  <c r="K89" i="2" s="1"/>
  <c r="G48" i="2"/>
  <c r="E10" i="2"/>
  <c r="F9" i="2"/>
  <c r="I48" i="2"/>
  <c r="J48" i="2" s="1"/>
  <c r="K48" i="2" s="1"/>
  <c r="I9" i="2"/>
  <c r="J9" i="2" s="1"/>
  <c r="K9" i="2" s="1"/>
  <c r="G8" i="1"/>
  <c r="I9" i="1" s="1"/>
  <c r="J9" i="1" s="1"/>
  <c r="K9" i="1" s="1"/>
  <c r="E10" i="1"/>
  <c r="F9" i="1"/>
  <c r="H9" i="1" s="1"/>
  <c r="F343" i="1"/>
  <c r="H343" i="1" s="1"/>
  <c r="F217" i="1"/>
  <c r="H217" i="1" s="1"/>
  <c r="G48" i="1"/>
  <c r="I49" i="1" s="1"/>
  <c r="J49" i="1" s="1"/>
  <c r="K49" i="1" s="1"/>
  <c r="H90" i="1"/>
  <c r="I91" i="1" s="1"/>
  <c r="J91" i="1" s="1"/>
  <c r="K91" i="1" s="1"/>
  <c r="E50" i="1"/>
  <c r="F49" i="1"/>
  <c r="H49" i="1" s="1"/>
  <c r="E92" i="1"/>
  <c r="F91" i="1"/>
  <c r="H91" i="1" s="1"/>
  <c r="E345" i="1"/>
  <c r="F344" i="1"/>
  <c r="H344" i="1" s="1"/>
  <c r="F301" i="1"/>
  <c r="H301" i="1" s="1"/>
  <c r="E302" i="1"/>
  <c r="E261" i="1"/>
  <c r="F259" i="1"/>
  <c r="H259" i="1" s="1"/>
  <c r="E219" i="1"/>
  <c r="F133" i="1"/>
  <c r="H133" i="1" s="1"/>
  <c r="F175" i="1"/>
  <c r="H175" i="1" s="1"/>
  <c r="E176" i="1"/>
  <c r="G342" i="1"/>
  <c r="I343" i="1" s="1"/>
  <c r="J343" i="1" s="1"/>
  <c r="K343" i="1" s="1"/>
  <c r="G300" i="1"/>
  <c r="I301" i="1" s="1"/>
  <c r="J301" i="1" s="1"/>
  <c r="K301" i="1" s="1"/>
  <c r="G258" i="1"/>
  <c r="I259" i="1" s="1"/>
  <c r="J259" i="1" s="1"/>
  <c r="K259" i="1" s="1"/>
  <c r="G216" i="1"/>
  <c r="I217" i="1" s="1"/>
  <c r="J217" i="1" s="1"/>
  <c r="K217" i="1" s="1"/>
  <c r="G174" i="1"/>
  <c r="I175" i="1" s="1"/>
  <c r="J175" i="1" s="1"/>
  <c r="K175" i="1" s="1"/>
  <c r="G132" i="1"/>
  <c r="I133" i="1" s="1"/>
  <c r="J133" i="1" s="1"/>
  <c r="K133" i="1" s="1"/>
  <c r="J49" i="8" l="1"/>
  <c r="K49" i="8" s="1"/>
  <c r="L49" i="8" s="1"/>
  <c r="J9" i="8"/>
  <c r="K9" i="8" s="1"/>
  <c r="L9" i="8" s="1"/>
  <c r="F50" i="8"/>
  <c r="G49" i="8"/>
  <c r="H49" i="8" s="1"/>
  <c r="F10" i="8"/>
  <c r="G9" i="8"/>
  <c r="I9" i="8" s="1"/>
  <c r="I171" i="5"/>
  <c r="I51" i="3"/>
  <c r="F51" i="3"/>
  <c r="H51" i="3" s="1"/>
  <c r="G51" i="3"/>
  <c r="E52" i="3"/>
  <c r="J51" i="3"/>
  <c r="K51" i="3" s="1"/>
  <c r="I130" i="4"/>
  <c r="J131" i="4" s="1"/>
  <c r="G91" i="4"/>
  <c r="H91" i="4" s="1"/>
  <c r="F92" i="4"/>
  <c r="F132" i="4"/>
  <c r="G131" i="4"/>
  <c r="I131" i="4" s="1"/>
  <c r="H131" i="4"/>
  <c r="J132" i="4" s="1"/>
  <c r="K130" i="4"/>
  <c r="L130" i="4" s="1"/>
  <c r="F93" i="5"/>
  <c r="I92" i="5"/>
  <c r="G92" i="5"/>
  <c r="H92" i="5" s="1"/>
  <c r="I91" i="5"/>
  <c r="H91" i="5"/>
  <c r="J172" i="5"/>
  <c r="K172" i="5" s="1"/>
  <c r="L172" i="5" s="1"/>
  <c r="F173" i="5"/>
  <c r="G172" i="5"/>
  <c r="H172" i="5" s="1"/>
  <c r="G131" i="5"/>
  <c r="I131" i="5" s="1"/>
  <c r="F132" i="5"/>
  <c r="J131" i="5"/>
  <c r="K90" i="5"/>
  <c r="L90" i="5" s="1"/>
  <c r="K129" i="5"/>
  <c r="L129" i="5" s="1"/>
  <c r="K91" i="4"/>
  <c r="L91" i="4" s="1"/>
  <c r="H51" i="4"/>
  <c r="J52" i="4" s="1"/>
  <c r="K52" i="4" s="1"/>
  <c r="G52" i="4"/>
  <c r="I52" i="4" s="1"/>
  <c r="H52" i="4"/>
  <c r="F53" i="4"/>
  <c r="L50" i="4"/>
  <c r="F53" i="5"/>
  <c r="G52" i="5"/>
  <c r="I52" i="5" s="1"/>
  <c r="H51" i="5"/>
  <c r="J52" i="5" s="1"/>
  <c r="K52" i="5" s="1"/>
  <c r="L51" i="5"/>
  <c r="I10" i="5"/>
  <c r="J11" i="5" s="1"/>
  <c r="K11" i="5" s="1"/>
  <c r="L11" i="5" s="1"/>
  <c r="I11" i="5"/>
  <c r="F11" i="3"/>
  <c r="H11" i="3" s="1"/>
  <c r="E12" i="3"/>
  <c r="H10" i="3"/>
  <c r="I11" i="3" s="1"/>
  <c r="J11" i="3" s="1"/>
  <c r="K11" i="3" s="1"/>
  <c r="H131" i="2"/>
  <c r="I132" i="2" s="1"/>
  <c r="G132" i="2"/>
  <c r="H132" i="2"/>
  <c r="F132" i="2"/>
  <c r="E133" i="2"/>
  <c r="J130" i="2"/>
  <c r="K130" i="2" s="1"/>
  <c r="F90" i="2"/>
  <c r="H90" i="2" s="1"/>
  <c r="E91" i="2"/>
  <c r="G90" i="2"/>
  <c r="I91" i="2" s="1"/>
  <c r="J91" i="2" s="1"/>
  <c r="H49" i="2"/>
  <c r="H9" i="2"/>
  <c r="G9" i="2"/>
  <c r="I10" i="2" s="1"/>
  <c r="J10" i="2" s="1"/>
  <c r="K10" i="2" s="1"/>
  <c r="E51" i="2"/>
  <c r="F50" i="2"/>
  <c r="H50" i="2" s="1"/>
  <c r="E11" i="2"/>
  <c r="F10" i="2"/>
  <c r="J90" i="2"/>
  <c r="K90" i="2" s="1"/>
  <c r="I49" i="2"/>
  <c r="J49" i="2" s="1"/>
  <c r="K49" i="2" s="1"/>
  <c r="F218" i="1"/>
  <c r="H218" i="1" s="1"/>
  <c r="G9" i="1"/>
  <c r="I10" i="1" s="1"/>
  <c r="J10" i="1" s="1"/>
  <c r="K10" i="1" s="1"/>
  <c r="E11" i="1"/>
  <c r="F10" i="1"/>
  <c r="H10" i="1" s="1"/>
  <c r="E93" i="1"/>
  <c r="E51" i="1"/>
  <c r="F92" i="1"/>
  <c r="F50" i="1"/>
  <c r="G91" i="1"/>
  <c r="G49" i="1"/>
  <c r="I50" i="1" s="1"/>
  <c r="J50" i="1" s="1"/>
  <c r="K50" i="1" s="1"/>
  <c r="F260" i="1"/>
  <c r="H260" i="1" s="1"/>
  <c r="F134" i="1"/>
  <c r="H134" i="1" s="1"/>
  <c r="F219" i="1"/>
  <c r="H219" i="1" s="1"/>
  <c r="E220" i="1"/>
  <c r="F176" i="1"/>
  <c r="H176" i="1" s="1"/>
  <c r="E177" i="1"/>
  <c r="F302" i="1"/>
  <c r="H302" i="1" s="1"/>
  <c r="E303" i="1"/>
  <c r="E346" i="1"/>
  <c r="F345" i="1"/>
  <c r="H345" i="1" s="1"/>
  <c r="I92" i="1"/>
  <c r="J92" i="1" s="1"/>
  <c r="K92" i="1" s="1"/>
  <c r="E262" i="1"/>
  <c r="G343" i="1"/>
  <c r="I344" i="1" s="1"/>
  <c r="J344" i="1" s="1"/>
  <c r="K344" i="1" s="1"/>
  <c r="G301" i="1"/>
  <c r="I302" i="1" s="1"/>
  <c r="J302" i="1" s="1"/>
  <c r="K302" i="1" s="1"/>
  <c r="G259" i="1"/>
  <c r="I260" i="1" s="1"/>
  <c r="J260" i="1" s="1"/>
  <c r="K260" i="1" s="1"/>
  <c r="G217" i="1"/>
  <c r="I218" i="1" s="1"/>
  <c r="J218" i="1" s="1"/>
  <c r="K218" i="1" s="1"/>
  <c r="G175" i="1"/>
  <c r="I176" i="1" s="1"/>
  <c r="J176" i="1" s="1"/>
  <c r="K176" i="1" s="1"/>
  <c r="G133" i="1"/>
  <c r="I134" i="1" s="1"/>
  <c r="J134" i="1" s="1"/>
  <c r="K134" i="1" s="1"/>
  <c r="F51" i="8" l="1"/>
  <c r="G50" i="8"/>
  <c r="I50" i="8" s="1"/>
  <c r="I49" i="8"/>
  <c r="J50" i="8" s="1"/>
  <c r="K50" i="8" s="1"/>
  <c r="L50" i="8" s="1"/>
  <c r="H9" i="8"/>
  <c r="J10" i="8" s="1"/>
  <c r="K10" i="8" s="1"/>
  <c r="L10" i="8" s="1"/>
  <c r="F11" i="8"/>
  <c r="G10" i="8"/>
  <c r="H10" i="8" s="1"/>
  <c r="H131" i="5"/>
  <c r="I52" i="3"/>
  <c r="J52" i="3" s="1"/>
  <c r="K52" i="3" s="1"/>
  <c r="E53" i="3"/>
  <c r="F52" i="3"/>
  <c r="G52" i="3" s="1"/>
  <c r="F93" i="4"/>
  <c r="G92" i="4"/>
  <c r="H92" i="4" s="1"/>
  <c r="I92" i="4"/>
  <c r="G132" i="4"/>
  <c r="H132" i="4" s="1"/>
  <c r="F133" i="4"/>
  <c r="I91" i="4"/>
  <c r="J92" i="4" s="1"/>
  <c r="K131" i="4"/>
  <c r="L131" i="4" s="1"/>
  <c r="J93" i="5"/>
  <c r="J132" i="5"/>
  <c r="J92" i="5"/>
  <c r="I93" i="5"/>
  <c r="G93" i="5"/>
  <c r="H93" i="5"/>
  <c r="F94" i="5"/>
  <c r="F174" i="5"/>
  <c r="G173" i="5"/>
  <c r="I173" i="5" s="1"/>
  <c r="I172" i="5"/>
  <c r="J173" i="5" s="1"/>
  <c r="K173" i="5" s="1"/>
  <c r="L173" i="5" s="1"/>
  <c r="I132" i="5"/>
  <c r="G132" i="5"/>
  <c r="H132" i="5" s="1"/>
  <c r="F133" i="5"/>
  <c r="K130" i="5"/>
  <c r="L130" i="5" s="1"/>
  <c r="K91" i="5"/>
  <c r="L91" i="5" s="1"/>
  <c r="K92" i="4"/>
  <c r="L92" i="4" s="1"/>
  <c r="J53" i="4"/>
  <c r="K53" i="4" s="1"/>
  <c r="F54" i="4"/>
  <c r="G53" i="4"/>
  <c r="H53" i="4" s="1"/>
  <c r="L51" i="4"/>
  <c r="H52" i="5"/>
  <c r="J53" i="5" s="1"/>
  <c r="K53" i="5" s="1"/>
  <c r="F54" i="5"/>
  <c r="G53" i="5"/>
  <c r="H53" i="5" s="1"/>
  <c r="L52" i="5"/>
  <c r="H12" i="5"/>
  <c r="H11" i="5"/>
  <c r="J12" i="5" s="1"/>
  <c r="K12" i="5" s="1"/>
  <c r="L12" i="5" s="1"/>
  <c r="E13" i="3"/>
  <c r="F12" i="3"/>
  <c r="G12" i="3" s="1"/>
  <c r="G11" i="3"/>
  <c r="I12" i="3" s="1"/>
  <c r="J12" i="3" s="1"/>
  <c r="K12" i="3" s="1"/>
  <c r="F133" i="2"/>
  <c r="E134" i="2"/>
  <c r="G133" i="2"/>
  <c r="H133" i="2"/>
  <c r="I133" i="2"/>
  <c r="J131" i="2"/>
  <c r="K131" i="2" s="1"/>
  <c r="E92" i="2"/>
  <c r="F91" i="2"/>
  <c r="H91" i="2" s="1"/>
  <c r="G91" i="2"/>
  <c r="I92" i="2" s="1"/>
  <c r="G50" i="2"/>
  <c r="K91" i="2"/>
  <c r="E12" i="2"/>
  <c r="F11" i="2"/>
  <c r="H11" i="2" s="1"/>
  <c r="E52" i="2"/>
  <c r="F51" i="2"/>
  <c r="H51" i="2" s="1"/>
  <c r="H10" i="2"/>
  <c r="G10" i="2"/>
  <c r="I11" i="2" s="1"/>
  <c r="J11" i="2" s="1"/>
  <c r="K11" i="2" s="1"/>
  <c r="I50" i="2"/>
  <c r="J50" i="2" s="1"/>
  <c r="K50" i="2" s="1"/>
  <c r="G10" i="1"/>
  <c r="I11" i="1" s="1"/>
  <c r="J11" i="1" s="1"/>
  <c r="K11" i="1" s="1"/>
  <c r="E12" i="1"/>
  <c r="F11" i="1"/>
  <c r="H11" i="1" s="1"/>
  <c r="F93" i="1"/>
  <c r="H93" i="1" s="1"/>
  <c r="F51" i="1"/>
  <c r="H51" i="1" s="1"/>
  <c r="E52" i="1"/>
  <c r="G92" i="1"/>
  <c r="H50" i="1"/>
  <c r="H92" i="1"/>
  <c r="G50" i="1"/>
  <c r="E94" i="1"/>
  <c r="F261" i="1"/>
  <c r="H261" i="1" s="1"/>
  <c r="E263" i="1"/>
  <c r="F135" i="1"/>
  <c r="H135" i="1" s="1"/>
  <c r="F303" i="1"/>
  <c r="H303" i="1" s="1"/>
  <c r="E304" i="1"/>
  <c r="E347" i="1"/>
  <c r="F346" i="1"/>
  <c r="H346" i="1" s="1"/>
  <c r="F220" i="1"/>
  <c r="H220" i="1" s="1"/>
  <c r="E221" i="1"/>
  <c r="F177" i="1"/>
  <c r="H177" i="1" s="1"/>
  <c r="E178" i="1"/>
  <c r="G344" i="1"/>
  <c r="I345" i="1" s="1"/>
  <c r="J345" i="1" s="1"/>
  <c r="K345" i="1" s="1"/>
  <c r="G302" i="1"/>
  <c r="I303" i="1" s="1"/>
  <c r="J303" i="1" s="1"/>
  <c r="K303" i="1" s="1"/>
  <c r="G260" i="1"/>
  <c r="I261" i="1" s="1"/>
  <c r="J261" i="1" s="1"/>
  <c r="K261" i="1" s="1"/>
  <c r="G218" i="1"/>
  <c r="I219" i="1" s="1"/>
  <c r="J219" i="1" s="1"/>
  <c r="K219" i="1" s="1"/>
  <c r="G176" i="1"/>
  <c r="I177" i="1" s="1"/>
  <c r="J177" i="1" s="1"/>
  <c r="K177" i="1" s="1"/>
  <c r="G134" i="1"/>
  <c r="I135" i="1" s="1"/>
  <c r="J135" i="1" s="1"/>
  <c r="K135" i="1" s="1"/>
  <c r="H50" i="8" l="1"/>
  <c r="J51" i="8" s="1"/>
  <c r="K51" i="8" s="1"/>
  <c r="L51" i="8" s="1"/>
  <c r="F52" i="8"/>
  <c r="G51" i="8"/>
  <c r="H51" i="8" s="1"/>
  <c r="I10" i="8"/>
  <c r="J11" i="8" s="1"/>
  <c r="K11" i="8" s="1"/>
  <c r="L11" i="8" s="1"/>
  <c r="G11" i="8"/>
  <c r="I11" i="8" s="1"/>
  <c r="F12" i="8"/>
  <c r="H52" i="3"/>
  <c r="I53" i="3" s="1"/>
  <c r="J53" i="3" s="1"/>
  <c r="K53" i="3" s="1"/>
  <c r="F53" i="3"/>
  <c r="H53" i="3" s="1"/>
  <c r="E54" i="3"/>
  <c r="G133" i="4"/>
  <c r="I133" i="4" s="1"/>
  <c r="F134" i="4"/>
  <c r="H133" i="4"/>
  <c r="J134" i="4" s="1"/>
  <c r="J93" i="4"/>
  <c r="K93" i="4" s="1"/>
  <c r="L93" i="4" s="1"/>
  <c r="I132" i="4"/>
  <c r="J133" i="4" s="1"/>
  <c r="I93" i="4"/>
  <c r="F94" i="4"/>
  <c r="G93" i="4"/>
  <c r="H93" i="4" s="1"/>
  <c r="J94" i="4" s="1"/>
  <c r="K132" i="4"/>
  <c r="L132" i="4" s="1"/>
  <c r="F95" i="5"/>
  <c r="G94" i="5"/>
  <c r="I94" i="5" s="1"/>
  <c r="J94" i="5"/>
  <c r="H173" i="5"/>
  <c r="J174" i="5" s="1"/>
  <c r="K174" i="5" s="1"/>
  <c r="L174" i="5" s="1"/>
  <c r="G174" i="5"/>
  <c r="H174" i="5" s="1"/>
  <c r="F175" i="5"/>
  <c r="G133" i="5"/>
  <c r="H133" i="5" s="1"/>
  <c r="F134" i="5"/>
  <c r="J133" i="5"/>
  <c r="K131" i="5"/>
  <c r="L131" i="5" s="1"/>
  <c r="K92" i="5"/>
  <c r="L92" i="5" s="1"/>
  <c r="I53" i="4"/>
  <c r="J54" i="4" s="1"/>
  <c r="K54" i="4" s="1"/>
  <c r="G54" i="4"/>
  <c r="I54" i="4" s="1"/>
  <c r="F55" i="4"/>
  <c r="L52" i="4"/>
  <c r="I53" i="5"/>
  <c r="J54" i="5" s="1"/>
  <c r="K54" i="5" s="1"/>
  <c r="L54" i="5" s="1"/>
  <c r="F55" i="5"/>
  <c r="G54" i="5"/>
  <c r="H54" i="5" s="1"/>
  <c r="L53" i="5"/>
  <c r="G93" i="1"/>
  <c r="I12" i="5"/>
  <c r="J13" i="5" s="1"/>
  <c r="K13" i="5" s="1"/>
  <c r="L13" i="5" s="1"/>
  <c r="H13" i="5"/>
  <c r="H12" i="3"/>
  <c r="I13" i="3" s="1"/>
  <c r="J13" i="3" s="1"/>
  <c r="K13" i="3" s="1"/>
  <c r="E14" i="3"/>
  <c r="F13" i="3"/>
  <c r="G13" i="3" s="1"/>
  <c r="I134" i="2"/>
  <c r="F134" i="2"/>
  <c r="H134" i="2" s="1"/>
  <c r="E135" i="2"/>
  <c r="G134" i="2"/>
  <c r="J132" i="2"/>
  <c r="K132" i="2" s="1"/>
  <c r="E93" i="2"/>
  <c r="F92" i="2"/>
  <c r="G92" i="2" s="1"/>
  <c r="G51" i="2"/>
  <c r="E13" i="2"/>
  <c r="F12" i="2"/>
  <c r="G11" i="2"/>
  <c r="I12" i="2" s="1"/>
  <c r="J12" i="2" s="1"/>
  <c r="K12" i="2" s="1"/>
  <c r="E53" i="2"/>
  <c r="F52" i="2"/>
  <c r="H52" i="2" s="1"/>
  <c r="J92" i="2"/>
  <c r="K92" i="2" s="1"/>
  <c r="I51" i="2"/>
  <c r="J51" i="2" s="1"/>
  <c r="K51" i="2" s="1"/>
  <c r="I52" i="2"/>
  <c r="J52" i="2" s="1"/>
  <c r="K52" i="2" s="1"/>
  <c r="G11" i="1"/>
  <c r="E13" i="1"/>
  <c r="F12" i="1"/>
  <c r="H12" i="1" s="1"/>
  <c r="I12" i="1"/>
  <c r="J12" i="1" s="1"/>
  <c r="K12" i="1" s="1"/>
  <c r="G51" i="1"/>
  <c r="I52" i="1" s="1"/>
  <c r="J52" i="1" s="1"/>
  <c r="K52" i="1" s="1"/>
  <c r="I93" i="1"/>
  <c r="J93" i="1" s="1"/>
  <c r="K93" i="1" s="1"/>
  <c r="E95" i="1"/>
  <c r="E53" i="1"/>
  <c r="I51" i="1"/>
  <c r="J51" i="1" s="1"/>
  <c r="K51" i="1" s="1"/>
  <c r="F94" i="1"/>
  <c r="F52" i="1"/>
  <c r="G52" i="1" s="1"/>
  <c r="F262" i="1"/>
  <c r="H262" i="1" s="1"/>
  <c r="F221" i="1"/>
  <c r="H221" i="1" s="1"/>
  <c r="E222" i="1"/>
  <c r="F347" i="1"/>
  <c r="H347" i="1" s="1"/>
  <c r="E348" i="1"/>
  <c r="E264" i="1"/>
  <c r="F178" i="1"/>
  <c r="H178" i="1" s="1"/>
  <c r="E179" i="1"/>
  <c r="F136" i="1"/>
  <c r="H136" i="1" s="1"/>
  <c r="E305" i="1"/>
  <c r="F304" i="1"/>
  <c r="H304" i="1" s="1"/>
  <c r="I94" i="1"/>
  <c r="J94" i="1" s="1"/>
  <c r="K94" i="1" s="1"/>
  <c r="G345" i="1"/>
  <c r="I346" i="1" s="1"/>
  <c r="J346" i="1" s="1"/>
  <c r="K346" i="1" s="1"/>
  <c r="G303" i="1"/>
  <c r="I304" i="1" s="1"/>
  <c r="J304" i="1" s="1"/>
  <c r="K304" i="1" s="1"/>
  <c r="G261" i="1"/>
  <c r="G219" i="1"/>
  <c r="I220" i="1" s="1"/>
  <c r="J220" i="1" s="1"/>
  <c r="K220" i="1" s="1"/>
  <c r="G177" i="1"/>
  <c r="I178" i="1" s="1"/>
  <c r="J178" i="1" s="1"/>
  <c r="K178" i="1" s="1"/>
  <c r="G135" i="1"/>
  <c r="I136" i="1" s="1"/>
  <c r="J136" i="1" s="1"/>
  <c r="K136" i="1" s="1"/>
  <c r="H11" i="8" l="1"/>
  <c r="I51" i="8"/>
  <c r="J52" i="8" s="1"/>
  <c r="K52" i="8" s="1"/>
  <c r="L52" i="8" s="1"/>
  <c r="F53" i="8"/>
  <c r="G52" i="8"/>
  <c r="H52" i="8" s="1"/>
  <c r="J12" i="8"/>
  <c r="K12" i="8" s="1"/>
  <c r="L12" i="8" s="1"/>
  <c r="G12" i="8"/>
  <c r="I12" i="8" s="1"/>
  <c r="F13" i="8"/>
  <c r="G53" i="3"/>
  <c r="I54" i="3" s="1"/>
  <c r="J54" i="3" s="1"/>
  <c r="K54" i="3" s="1"/>
  <c r="F54" i="3"/>
  <c r="H54" i="3" s="1"/>
  <c r="E55" i="3"/>
  <c r="G134" i="4"/>
  <c r="I134" i="4" s="1"/>
  <c r="F135" i="4"/>
  <c r="H134" i="4"/>
  <c r="J135" i="4" s="1"/>
  <c r="G94" i="4"/>
  <c r="I94" i="4" s="1"/>
  <c r="F95" i="4"/>
  <c r="K133" i="4"/>
  <c r="L133" i="4" s="1"/>
  <c r="G95" i="5"/>
  <c r="F96" i="5"/>
  <c r="H94" i="5"/>
  <c r="J95" i="5" s="1"/>
  <c r="I174" i="5"/>
  <c r="J175" i="5" s="1"/>
  <c r="K175" i="5" s="1"/>
  <c r="L175" i="5" s="1"/>
  <c r="G175" i="5"/>
  <c r="H175" i="5" s="1"/>
  <c r="F176" i="5"/>
  <c r="G134" i="5"/>
  <c r="H134" i="5" s="1"/>
  <c r="F135" i="5"/>
  <c r="I133" i="5"/>
  <c r="J134" i="5" s="1"/>
  <c r="K93" i="5"/>
  <c r="L93" i="5" s="1"/>
  <c r="K132" i="5"/>
  <c r="L132" i="5" s="1"/>
  <c r="K94" i="4"/>
  <c r="L94" i="4" s="1"/>
  <c r="H54" i="4"/>
  <c r="J55" i="4" s="1"/>
  <c r="K55" i="4" s="1"/>
  <c r="F56" i="4"/>
  <c r="G55" i="4"/>
  <c r="H55" i="4" s="1"/>
  <c r="L53" i="4"/>
  <c r="I54" i="5"/>
  <c r="J55" i="5" s="1"/>
  <c r="K55" i="5" s="1"/>
  <c r="F56" i="5"/>
  <c r="G55" i="5"/>
  <c r="H55" i="5" s="1"/>
  <c r="G12" i="1"/>
  <c r="I13" i="1" s="1"/>
  <c r="J13" i="1" s="1"/>
  <c r="K13" i="1" s="1"/>
  <c r="I13" i="5"/>
  <c r="J14" i="5" s="1"/>
  <c r="K14" i="5" s="1"/>
  <c r="L14" i="5" s="1"/>
  <c r="I14" i="5"/>
  <c r="H14" i="5"/>
  <c r="H13" i="3"/>
  <c r="I14" i="3" s="1"/>
  <c r="J14" i="3" s="1"/>
  <c r="K14" i="3" s="1"/>
  <c r="F14" i="3"/>
  <c r="H14" i="3" s="1"/>
  <c r="E15" i="3"/>
  <c r="F135" i="2"/>
  <c r="H135" i="2" s="1"/>
  <c r="E136" i="2"/>
  <c r="G135" i="2"/>
  <c r="I135" i="2"/>
  <c r="J133" i="2"/>
  <c r="K133" i="2" s="1"/>
  <c r="H92" i="2"/>
  <c r="I93" i="2" s="1"/>
  <c r="F93" i="2"/>
  <c r="H93" i="2" s="1"/>
  <c r="E94" i="2"/>
  <c r="G93" i="2"/>
  <c r="I94" i="2" s="1"/>
  <c r="G52" i="2"/>
  <c r="H12" i="2"/>
  <c r="G12" i="2"/>
  <c r="E14" i="2"/>
  <c r="F13" i="2"/>
  <c r="E54" i="2"/>
  <c r="F53" i="2"/>
  <c r="J93" i="2"/>
  <c r="K93" i="2" s="1"/>
  <c r="E14" i="1"/>
  <c r="F13" i="1"/>
  <c r="G13" i="1" s="1"/>
  <c r="F95" i="1"/>
  <c r="G95" i="1" s="1"/>
  <c r="G94" i="1"/>
  <c r="H94" i="1"/>
  <c r="E54" i="1"/>
  <c r="F53" i="1"/>
  <c r="H52" i="1"/>
  <c r="I53" i="1" s="1"/>
  <c r="J53" i="1" s="1"/>
  <c r="K53" i="1" s="1"/>
  <c r="E96" i="1"/>
  <c r="F263" i="1"/>
  <c r="H263" i="1" s="1"/>
  <c r="F305" i="1"/>
  <c r="H305" i="1" s="1"/>
  <c r="E306" i="1"/>
  <c r="F179" i="1"/>
  <c r="H179" i="1" s="1"/>
  <c r="E180" i="1"/>
  <c r="E223" i="1"/>
  <c r="F222" i="1"/>
  <c r="H222" i="1" s="1"/>
  <c r="I262" i="1"/>
  <c r="J262" i="1" s="1"/>
  <c r="K262" i="1" s="1"/>
  <c r="F137" i="1"/>
  <c r="H137" i="1" s="1"/>
  <c r="E349" i="1"/>
  <c r="F348" i="1"/>
  <c r="H348" i="1" s="1"/>
  <c r="E265" i="1"/>
  <c r="G346" i="1"/>
  <c r="I347" i="1" s="1"/>
  <c r="J347" i="1" s="1"/>
  <c r="K347" i="1" s="1"/>
  <c r="G304" i="1"/>
  <c r="I305" i="1" s="1"/>
  <c r="J305" i="1" s="1"/>
  <c r="K305" i="1" s="1"/>
  <c r="G262" i="1"/>
  <c r="I263" i="1" s="1"/>
  <c r="J263" i="1" s="1"/>
  <c r="K263" i="1" s="1"/>
  <c r="G220" i="1"/>
  <c r="I221" i="1" s="1"/>
  <c r="J221" i="1" s="1"/>
  <c r="K221" i="1" s="1"/>
  <c r="G178" i="1"/>
  <c r="I179" i="1" s="1"/>
  <c r="J179" i="1" s="1"/>
  <c r="K179" i="1" s="1"/>
  <c r="G136" i="1"/>
  <c r="I137" i="1" s="1"/>
  <c r="J137" i="1" s="1"/>
  <c r="K137" i="1" s="1"/>
  <c r="I52" i="8" l="1"/>
  <c r="J53" i="8"/>
  <c r="K53" i="8" s="1"/>
  <c r="L53" i="8" s="1"/>
  <c r="F54" i="8"/>
  <c r="G53" i="8"/>
  <c r="H53" i="8" s="1"/>
  <c r="F14" i="8"/>
  <c r="G13" i="8"/>
  <c r="I13" i="8" s="1"/>
  <c r="H12" i="8"/>
  <c r="J13" i="8" s="1"/>
  <c r="K13" i="8" s="1"/>
  <c r="L13" i="8" s="1"/>
  <c r="E56" i="3"/>
  <c r="F55" i="3"/>
  <c r="H55" i="3" s="1"/>
  <c r="G54" i="3"/>
  <c r="I55" i="3" s="1"/>
  <c r="J55" i="3"/>
  <c r="K55" i="3" s="1"/>
  <c r="H94" i="4"/>
  <c r="J95" i="4" s="1"/>
  <c r="F136" i="4"/>
  <c r="G135" i="4"/>
  <c r="I135" i="4" s="1"/>
  <c r="H135" i="4"/>
  <c r="J136" i="4" s="1"/>
  <c r="G95" i="4"/>
  <c r="I95" i="4" s="1"/>
  <c r="F96" i="4"/>
  <c r="H95" i="4"/>
  <c r="J96" i="4" s="1"/>
  <c r="K134" i="4"/>
  <c r="L134" i="4" s="1"/>
  <c r="G96" i="5"/>
  <c r="H96" i="5" s="1"/>
  <c r="F97" i="5"/>
  <c r="I95" i="5"/>
  <c r="H95" i="5"/>
  <c r="I175" i="5"/>
  <c r="J176" i="5" s="1"/>
  <c r="K176" i="5" s="1"/>
  <c r="L176" i="5" s="1"/>
  <c r="F177" i="5"/>
  <c r="G176" i="5"/>
  <c r="H176" i="5" s="1"/>
  <c r="I134" i="5"/>
  <c r="J135" i="5" s="1"/>
  <c r="G135" i="5"/>
  <c r="I135" i="5" s="1"/>
  <c r="F136" i="5"/>
  <c r="K133" i="5"/>
  <c r="L133" i="5" s="1"/>
  <c r="K94" i="5"/>
  <c r="L94" i="5" s="1"/>
  <c r="K95" i="4"/>
  <c r="L95" i="4" s="1"/>
  <c r="I55" i="4"/>
  <c r="J56" i="4" s="1"/>
  <c r="K56" i="4" s="1"/>
  <c r="G56" i="4"/>
  <c r="H56" i="4" s="1"/>
  <c r="J57" i="4" s="1"/>
  <c r="K57" i="4" s="1"/>
  <c r="I56" i="4"/>
  <c r="F57" i="4"/>
  <c r="L54" i="4"/>
  <c r="I55" i="5"/>
  <c r="J56" i="5" s="1"/>
  <c r="K56" i="5" s="1"/>
  <c r="F57" i="5"/>
  <c r="G56" i="5"/>
  <c r="H56" i="5" s="1"/>
  <c r="L55" i="5"/>
  <c r="J15" i="5"/>
  <c r="K15" i="5" s="1"/>
  <c r="L15" i="5" s="1"/>
  <c r="I15" i="5"/>
  <c r="F15" i="3"/>
  <c r="H15" i="3" s="1"/>
  <c r="E16" i="3"/>
  <c r="G14" i="3"/>
  <c r="I15" i="3" s="1"/>
  <c r="J15" i="3" s="1"/>
  <c r="K15" i="3" s="1"/>
  <c r="I136" i="2"/>
  <c r="F136" i="2"/>
  <c r="G136" i="2" s="1"/>
  <c r="E137" i="2"/>
  <c r="J134" i="2"/>
  <c r="K134" i="2" s="1"/>
  <c r="E95" i="2"/>
  <c r="F94" i="2"/>
  <c r="G94" i="2" s="1"/>
  <c r="H94" i="2"/>
  <c r="I13" i="2"/>
  <c r="J13" i="2" s="1"/>
  <c r="K13" i="2" s="1"/>
  <c r="J94" i="2"/>
  <c r="K94" i="2" s="1"/>
  <c r="F54" i="2"/>
  <c r="G54" i="2" s="1"/>
  <c r="H13" i="2"/>
  <c r="G13" i="2"/>
  <c r="I14" i="2" s="1"/>
  <c r="J14" i="2" s="1"/>
  <c r="K14" i="2" s="1"/>
  <c r="E15" i="2"/>
  <c r="F14" i="2"/>
  <c r="E55" i="2"/>
  <c r="H53" i="2"/>
  <c r="G53" i="2"/>
  <c r="I53" i="2"/>
  <c r="J53" i="2" s="1"/>
  <c r="K53" i="2" s="1"/>
  <c r="H13" i="1"/>
  <c r="H95" i="1"/>
  <c r="E15" i="1"/>
  <c r="F14" i="1"/>
  <c r="G14" i="1" s="1"/>
  <c r="I14" i="1"/>
  <c r="J14" i="1" s="1"/>
  <c r="K14" i="1" s="1"/>
  <c r="F96" i="1"/>
  <c r="H96" i="1" s="1"/>
  <c r="I95" i="1"/>
  <c r="J95" i="1" s="1"/>
  <c r="K95" i="1" s="1"/>
  <c r="F54" i="1"/>
  <c r="H54" i="1" s="1"/>
  <c r="H53" i="1"/>
  <c r="E55" i="1"/>
  <c r="E97" i="1"/>
  <c r="G96" i="1"/>
  <c r="G53" i="1"/>
  <c r="I54" i="1" s="1"/>
  <c r="J54" i="1" s="1"/>
  <c r="K54" i="1" s="1"/>
  <c r="F264" i="1"/>
  <c r="H264" i="1" s="1"/>
  <c r="I96" i="1"/>
  <c r="J96" i="1" s="1"/>
  <c r="K96" i="1" s="1"/>
  <c r="E350" i="1"/>
  <c r="F349" i="1"/>
  <c r="H349" i="1" s="1"/>
  <c r="F223" i="1"/>
  <c r="H223" i="1" s="1"/>
  <c r="E224" i="1"/>
  <c r="F306" i="1"/>
  <c r="H306" i="1" s="1"/>
  <c r="E307" i="1"/>
  <c r="F180" i="1"/>
  <c r="H180" i="1" s="1"/>
  <c r="E181" i="1"/>
  <c r="E266" i="1"/>
  <c r="F138" i="1"/>
  <c r="H138" i="1" s="1"/>
  <c r="G347" i="1"/>
  <c r="I348" i="1" s="1"/>
  <c r="J348" i="1" s="1"/>
  <c r="K348" i="1" s="1"/>
  <c r="G305" i="1"/>
  <c r="I306" i="1" s="1"/>
  <c r="J306" i="1" s="1"/>
  <c r="K306" i="1" s="1"/>
  <c r="G263" i="1"/>
  <c r="I264" i="1" s="1"/>
  <c r="J264" i="1" s="1"/>
  <c r="K264" i="1" s="1"/>
  <c r="G221" i="1"/>
  <c r="I222" i="1" s="1"/>
  <c r="J222" i="1" s="1"/>
  <c r="K222" i="1" s="1"/>
  <c r="G179" i="1"/>
  <c r="I180" i="1" s="1"/>
  <c r="J180" i="1" s="1"/>
  <c r="K180" i="1" s="1"/>
  <c r="G137" i="1"/>
  <c r="I138" i="1" s="1"/>
  <c r="J138" i="1" s="1"/>
  <c r="K138" i="1" s="1"/>
  <c r="I53" i="8" l="1"/>
  <c r="J54" i="8" s="1"/>
  <c r="K54" i="8" s="1"/>
  <c r="L54" i="8" s="1"/>
  <c r="F55" i="8"/>
  <c r="G54" i="8"/>
  <c r="I54" i="8" s="1"/>
  <c r="H13" i="8"/>
  <c r="J14" i="8" s="1"/>
  <c r="K14" i="8" s="1"/>
  <c r="L14" i="8" s="1"/>
  <c r="F15" i="8"/>
  <c r="G14" i="8"/>
  <c r="H14" i="8" s="1"/>
  <c r="G55" i="3"/>
  <c r="I56" i="3" s="1"/>
  <c r="E57" i="3"/>
  <c r="F56" i="3"/>
  <c r="G56" i="3" s="1"/>
  <c r="J56" i="3"/>
  <c r="K56" i="3" s="1"/>
  <c r="G96" i="4"/>
  <c r="H96" i="4" s="1"/>
  <c r="F97" i="4"/>
  <c r="F137" i="4"/>
  <c r="G136" i="4"/>
  <c r="H136" i="4" s="1"/>
  <c r="I136" i="4"/>
  <c r="K135" i="4"/>
  <c r="L135" i="4" s="1"/>
  <c r="G97" i="5"/>
  <c r="I97" i="5" s="1"/>
  <c r="F98" i="5"/>
  <c r="J96" i="5"/>
  <c r="I96" i="5"/>
  <c r="J97" i="5" s="1"/>
  <c r="I176" i="5"/>
  <c r="J177" i="5" s="1"/>
  <c r="K177" i="5" s="1"/>
  <c r="L177" i="5" s="1"/>
  <c r="F178" i="5"/>
  <c r="G177" i="5"/>
  <c r="H177" i="5" s="1"/>
  <c r="H136" i="5"/>
  <c r="F137" i="5"/>
  <c r="G136" i="5"/>
  <c r="I136" i="5" s="1"/>
  <c r="H135" i="5"/>
  <c r="J136" i="5" s="1"/>
  <c r="K134" i="5"/>
  <c r="L134" i="5" s="1"/>
  <c r="K95" i="5"/>
  <c r="L95" i="5" s="1"/>
  <c r="K96" i="4"/>
  <c r="L96" i="4" s="1"/>
  <c r="F58" i="4"/>
  <c r="G57" i="4"/>
  <c r="H57" i="4" s="1"/>
  <c r="L55" i="4"/>
  <c r="F58" i="5"/>
  <c r="G57" i="5"/>
  <c r="H57" i="5" s="1"/>
  <c r="I56" i="5"/>
  <c r="J57" i="5" s="1"/>
  <c r="K57" i="5" s="1"/>
  <c r="L56" i="5"/>
  <c r="H15" i="5"/>
  <c r="J16" i="5" s="1"/>
  <c r="K16" i="5" s="1"/>
  <c r="L16" i="5" s="1"/>
  <c r="I16" i="5"/>
  <c r="F16" i="3"/>
  <c r="G16" i="3" s="1"/>
  <c r="E17" i="3"/>
  <c r="G15" i="3"/>
  <c r="I16" i="3" s="1"/>
  <c r="J16" i="3" s="1"/>
  <c r="K16" i="3" s="1"/>
  <c r="H136" i="2"/>
  <c r="I137" i="2" s="1"/>
  <c r="F137" i="2"/>
  <c r="G137" i="2" s="1"/>
  <c r="E138" i="2"/>
  <c r="J135" i="2"/>
  <c r="K135" i="2" s="1"/>
  <c r="I95" i="2"/>
  <c r="E96" i="2"/>
  <c r="F95" i="2"/>
  <c r="H95" i="2" s="1"/>
  <c r="H54" i="2"/>
  <c r="H14" i="2"/>
  <c r="G14" i="2"/>
  <c r="I15" i="2" s="1"/>
  <c r="J15" i="2" s="1"/>
  <c r="K15" i="2" s="1"/>
  <c r="E16" i="2"/>
  <c r="F15" i="2"/>
  <c r="H15" i="2" s="1"/>
  <c r="E56" i="2"/>
  <c r="F55" i="2"/>
  <c r="G55" i="2" s="1"/>
  <c r="J95" i="2"/>
  <c r="K95" i="2" s="1"/>
  <c r="I54" i="2"/>
  <c r="J54" i="2" s="1"/>
  <c r="K54" i="2" s="1"/>
  <c r="H14" i="1"/>
  <c r="E16" i="1"/>
  <c r="F15" i="1"/>
  <c r="H15" i="1" s="1"/>
  <c r="G15" i="1"/>
  <c r="I15" i="1"/>
  <c r="J15" i="1" s="1"/>
  <c r="K15" i="1" s="1"/>
  <c r="E56" i="1"/>
  <c r="E98" i="1"/>
  <c r="F55" i="1"/>
  <c r="G54" i="1"/>
  <c r="I55" i="1" s="1"/>
  <c r="J55" i="1" s="1"/>
  <c r="K55" i="1" s="1"/>
  <c r="F97" i="1"/>
  <c r="H97" i="1" s="1"/>
  <c r="F265" i="1"/>
  <c r="H265" i="1" s="1"/>
  <c r="I97" i="1"/>
  <c r="J97" i="1" s="1"/>
  <c r="K97" i="1" s="1"/>
  <c r="F181" i="1"/>
  <c r="H181" i="1" s="1"/>
  <c r="E182" i="1"/>
  <c r="F266" i="1"/>
  <c r="H266" i="1" s="1"/>
  <c r="E267" i="1"/>
  <c r="F139" i="1"/>
  <c r="H139" i="1" s="1"/>
  <c r="E351" i="1"/>
  <c r="F350" i="1"/>
  <c r="H350" i="1" s="1"/>
  <c r="F307" i="1"/>
  <c r="H307" i="1" s="1"/>
  <c r="E308" i="1"/>
  <c r="F224" i="1"/>
  <c r="H224" i="1" s="1"/>
  <c r="E225" i="1"/>
  <c r="G348" i="1"/>
  <c r="I349" i="1" s="1"/>
  <c r="J349" i="1" s="1"/>
  <c r="K349" i="1" s="1"/>
  <c r="G306" i="1"/>
  <c r="I307" i="1" s="1"/>
  <c r="J307" i="1" s="1"/>
  <c r="K307" i="1" s="1"/>
  <c r="G264" i="1"/>
  <c r="I265" i="1" s="1"/>
  <c r="J265" i="1" s="1"/>
  <c r="K265" i="1" s="1"/>
  <c r="G222" i="1"/>
  <c r="I223" i="1" s="1"/>
  <c r="J223" i="1" s="1"/>
  <c r="K223" i="1" s="1"/>
  <c r="G180" i="1"/>
  <c r="I181" i="1" s="1"/>
  <c r="J181" i="1" s="1"/>
  <c r="K181" i="1" s="1"/>
  <c r="G138" i="1"/>
  <c r="I139" i="1" s="1"/>
  <c r="J139" i="1" s="1"/>
  <c r="K139" i="1" s="1"/>
  <c r="H54" i="8" l="1"/>
  <c r="J55" i="8"/>
  <c r="K55" i="8" s="1"/>
  <c r="L55" i="8" s="1"/>
  <c r="F56" i="8"/>
  <c r="G55" i="8"/>
  <c r="I55" i="8" s="1"/>
  <c r="I14" i="8"/>
  <c r="J15" i="8" s="1"/>
  <c r="K15" i="8" s="1"/>
  <c r="L15" i="8" s="1"/>
  <c r="G15" i="8"/>
  <c r="I15" i="8" s="1"/>
  <c r="F16" i="8"/>
  <c r="H97" i="5"/>
  <c r="H56" i="3"/>
  <c r="I57" i="3" s="1"/>
  <c r="J57" i="3" s="1"/>
  <c r="K57" i="3" s="1"/>
  <c r="F57" i="3"/>
  <c r="E58" i="3"/>
  <c r="H57" i="3"/>
  <c r="G57" i="3"/>
  <c r="G137" i="4"/>
  <c r="H137" i="4" s="1"/>
  <c r="F138" i="4"/>
  <c r="I137" i="4"/>
  <c r="J138" i="4" s="1"/>
  <c r="H97" i="4"/>
  <c r="G97" i="4"/>
  <c r="I97" i="4" s="1"/>
  <c r="F98" i="4"/>
  <c r="J97" i="4"/>
  <c r="K97" i="4" s="1"/>
  <c r="L97" i="4" s="1"/>
  <c r="J137" i="4"/>
  <c r="I96" i="4"/>
  <c r="K136" i="4"/>
  <c r="L136" i="4" s="1"/>
  <c r="J98" i="5"/>
  <c r="G98" i="5"/>
  <c r="I98" i="5" s="1"/>
  <c r="F99" i="5"/>
  <c r="G178" i="5"/>
  <c r="H178" i="5" s="1"/>
  <c r="F179" i="5"/>
  <c r="I177" i="5"/>
  <c r="J178" i="5" s="1"/>
  <c r="K178" i="5" s="1"/>
  <c r="L178" i="5" s="1"/>
  <c r="J137" i="5"/>
  <c r="G137" i="5"/>
  <c r="I137" i="5" s="1"/>
  <c r="F138" i="5"/>
  <c r="K135" i="5"/>
  <c r="L135" i="5" s="1"/>
  <c r="K136" i="5"/>
  <c r="L136" i="5" s="1"/>
  <c r="K96" i="5"/>
  <c r="L96" i="5" s="1"/>
  <c r="I57" i="4"/>
  <c r="J58" i="4" s="1"/>
  <c r="K58" i="4" s="1"/>
  <c r="G58" i="4"/>
  <c r="H58" i="4" s="1"/>
  <c r="I58" i="4"/>
  <c r="F59" i="4"/>
  <c r="L56" i="4"/>
  <c r="I57" i="5"/>
  <c r="J58" i="5" s="1"/>
  <c r="K58" i="5" s="1"/>
  <c r="F59" i="5"/>
  <c r="G58" i="5"/>
  <c r="H58" i="5" s="1"/>
  <c r="L57" i="5"/>
  <c r="H16" i="5"/>
  <c r="J17" i="5" s="1"/>
  <c r="K17" i="5" s="1"/>
  <c r="L17" i="5" s="1"/>
  <c r="I17" i="5"/>
  <c r="H17" i="5"/>
  <c r="H16" i="3"/>
  <c r="I17" i="3" s="1"/>
  <c r="J17" i="3" s="1"/>
  <c r="K17" i="3" s="1"/>
  <c r="E18" i="3"/>
  <c r="F17" i="3"/>
  <c r="H17" i="3" s="1"/>
  <c r="F138" i="2"/>
  <c r="H138" i="2" s="1"/>
  <c r="E139" i="2"/>
  <c r="G138" i="2"/>
  <c r="H137" i="2"/>
  <c r="I138" i="2" s="1"/>
  <c r="J136" i="2"/>
  <c r="K136" i="2" s="1"/>
  <c r="G95" i="2"/>
  <c r="I96" i="2" s="1"/>
  <c r="G96" i="2"/>
  <c r="I97" i="2" s="1"/>
  <c r="H96" i="2"/>
  <c r="E97" i="2"/>
  <c r="F96" i="2"/>
  <c r="G15" i="2"/>
  <c r="H55" i="2"/>
  <c r="E57" i="2"/>
  <c r="F56" i="2"/>
  <c r="H56" i="2" s="1"/>
  <c r="J96" i="2"/>
  <c r="K96" i="2" s="1"/>
  <c r="E17" i="2"/>
  <c r="F16" i="2"/>
  <c r="I55" i="2"/>
  <c r="J55" i="2" s="1"/>
  <c r="K55" i="2" s="1"/>
  <c r="I16" i="2"/>
  <c r="J16" i="2" s="1"/>
  <c r="K16" i="2" s="1"/>
  <c r="E17" i="1"/>
  <c r="F16" i="1"/>
  <c r="H16" i="1" s="1"/>
  <c r="I16" i="1"/>
  <c r="J16" i="1" s="1"/>
  <c r="K16" i="1" s="1"/>
  <c r="F56" i="1"/>
  <c r="H56" i="1" s="1"/>
  <c r="E99" i="1"/>
  <c r="H55" i="1"/>
  <c r="G55" i="1"/>
  <c r="F98" i="1"/>
  <c r="G97" i="1"/>
  <c r="E57" i="1"/>
  <c r="F308" i="1"/>
  <c r="H308" i="1" s="1"/>
  <c r="E309" i="1"/>
  <c r="F351" i="1"/>
  <c r="H351" i="1" s="1"/>
  <c r="E352" i="1"/>
  <c r="F182" i="1"/>
  <c r="H182" i="1" s="1"/>
  <c r="E183" i="1"/>
  <c r="F225" i="1"/>
  <c r="H225" i="1" s="1"/>
  <c r="E226" i="1"/>
  <c r="F267" i="1"/>
  <c r="H267" i="1" s="1"/>
  <c r="E268" i="1"/>
  <c r="F140" i="1"/>
  <c r="H140" i="1" s="1"/>
  <c r="G349" i="1"/>
  <c r="I350" i="1" s="1"/>
  <c r="J350" i="1" s="1"/>
  <c r="K350" i="1" s="1"/>
  <c r="G307" i="1"/>
  <c r="I308" i="1" s="1"/>
  <c r="J308" i="1" s="1"/>
  <c r="K308" i="1" s="1"/>
  <c r="G265" i="1"/>
  <c r="I266" i="1" s="1"/>
  <c r="J266" i="1" s="1"/>
  <c r="K266" i="1" s="1"/>
  <c r="G223" i="1"/>
  <c r="I224" i="1" s="1"/>
  <c r="J224" i="1" s="1"/>
  <c r="K224" i="1" s="1"/>
  <c r="G181" i="1"/>
  <c r="I182" i="1" s="1"/>
  <c r="J182" i="1" s="1"/>
  <c r="K182" i="1" s="1"/>
  <c r="G139" i="1"/>
  <c r="I140" i="1" s="1"/>
  <c r="J140" i="1" s="1"/>
  <c r="K140" i="1" s="1"/>
  <c r="F57" i="8" l="1"/>
  <c r="G56" i="8"/>
  <c r="I56" i="8" s="1"/>
  <c r="H56" i="8"/>
  <c r="H55" i="8"/>
  <c r="J56" i="8" s="1"/>
  <c r="K56" i="8" s="1"/>
  <c r="L56" i="8" s="1"/>
  <c r="H15" i="8"/>
  <c r="J16" i="8" s="1"/>
  <c r="K16" i="8" s="1"/>
  <c r="L16" i="8" s="1"/>
  <c r="G16" i="8"/>
  <c r="H16" i="8" s="1"/>
  <c r="I16" i="8"/>
  <c r="F17" i="8"/>
  <c r="H98" i="5"/>
  <c r="J99" i="5" s="1"/>
  <c r="H137" i="5"/>
  <c r="I58" i="3"/>
  <c r="F58" i="3"/>
  <c r="H58" i="3" s="1"/>
  <c r="E59" i="3"/>
  <c r="G58" i="3"/>
  <c r="J58" i="3"/>
  <c r="K58" i="3" s="1"/>
  <c r="F99" i="4"/>
  <c r="G98" i="4"/>
  <c r="I98" i="4" s="1"/>
  <c r="H98" i="4"/>
  <c r="J99" i="4" s="1"/>
  <c r="F139" i="4"/>
  <c r="G138" i="4"/>
  <c r="H138" i="4" s="1"/>
  <c r="J139" i="4" s="1"/>
  <c r="I138" i="4"/>
  <c r="J98" i="4"/>
  <c r="K98" i="4" s="1"/>
  <c r="L98" i="4" s="1"/>
  <c r="K137" i="4"/>
  <c r="L137" i="4" s="1"/>
  <c r="I178" i="5"/>
  <c r="F100" i="5"/>
  <c r="G99" i="5"/>
  <c r="I99" i="5" s="1"/>
  <c r="J179" i="5"/>
  <c r="K179" i="5" s="1"/>
  <c r="L179" i="5" s="1"/>
  <c r="G179" i="5"/>
  <c r="I179" i="5" s="1"/>
  <c r="H179" i="5"/>
  <c r="F180" i="5"/>
  <c r="J138" i="5"/>
  <c r="G138" i="5"/>
  <c r="I138" i="5" s="1"/>
  <c r="F139" i="5"/>
  <c r="K97" i="5"/>
  <c r="L97" i="5" s="1"/>
  <c r="J59" i="4"/>
  <c r="K59" i="4" s="1"/>
  <c r="F60" i="4"/>
  <c r="G59" i="4"/>
  <c r="H59" i="4" s="1"/>
  <c r="I59" i="4"/>
  <c r="L57" i="4"/>
  <c r="I58" i="5"/>
  <c r="J59" i="5" s="1"/>
  <c r="K59" i="5" s="1"/>
  <c r="F60" i="5"/>
  <c r="G59" i="5"/>
  <c r="H59" i="5" s="1"/>
  <c r="L58" i="5"/>
  <c r="G56" i="1"/>
  <c r="G16" i="1"/>
  <c r="J18" i="5"/>
  <c r="K18" i="5" s="1"/>
  <c r="L18" i="5" s="1"/>
  <c r="I18" i="5"/>
  <c r="H18" i="5"/>
  <c r="G17" i="3"/>
  <c r="I18" i="3" s="1"/>
  <c r="J18" i="3" s="1"/>
  <c r="K18" i="3" s="1"/>
  <c r="F18" i="3"/>
  <c r="G18" i="3" s="1"/>
  <c r="E19" i="3"/>
  <c r="I139" i="2"/>
  <c r="F139" i="2"/>
  <c r="G139" i="2" s="1"/>
  <c r="E140" i="2"/>
  <c r="J137" i="2"/>
  <c r="K137" i="2" s="1"/>
  <c r="F97" i="2"/>
  <c r="H97" i="2"/>
  <c r="G97" i="2"/>
  <c r="I98" i="2" s="1"/>
  <c r="E98" i="2"/>
  <c r="G56" i="2"/>
  <c r="J97" i="2"/>
  <c r="K97" i="2" s="1"/>
  <c r="E18" i="2"/>
  <c r="F17" i="2"/>
  <c r="H17" i="2" s="1"/>
  <c r="H16" i="2"/>
  <c r="G16" i="2"/>
  <c r="E58" i="2"/>
  <c r="F57" i="2"/>
  <c r="G57" i="2" s="1"/>
  <c r="I56" i="2"/>
  <c r="J56" i="2" s="1"/>
  <c r="K56" i="2" s="1"/>
  <c r="E18" i="1"/>
  <c r="F17" i="1"/>
  <c r="H17" i="1" s="1"/>
  <c r="I17" i="1"/>
  <c r="J17" i="1" s="1"/>
  <c r="K17" i="1" s="1"/>
  <c r="F57" i="1"/>
  <c r="G57" i="1" s="1"/>
  <c r="F99" i="1"/>
  <c r="G99" i="1" s="1"/>
  <c r="I57" i="1"/>
  <c r="J57" i="1" s="1"/>
  <c r="K57" i="1" s="1"/>
  <c r="I56" i="1"/>
  <c r="J56" i="1" s="1"/>
  <c r="K56" i="1" s="1"/>
  <c r="G98" i="1"/>
  <c r="H98" i="1"/>
  <c r="E58" i="1"/>
  <c r="E100" i="1"/>
  <c r="H99" i="1"/>
  <c r="I98" i="1"/>
  <c r="J98" i="1" s="1"/>
  <c r="K98" i="1" s="1"/>
  <c r="E227" i="1"/>
  <c r="F226" i="1"/>
  <c r="H226" i="1" s="1"/>
  <c r="F268" i="1"/>
  <c r="H268" i="1" s="1"/>
  <c r="E269" i="1"/>
  <c r="F141" i="1"/>
  <c r="H141" i="1" s="1"/>
  <c r="F309" i="1"/>
  <c r="H309" i="1" s="1"/>
  <c r="E310" i="1"/>
  <c r="F183" i="1"/>
  <c r="H183" i="1" s="1"/>
  <c r="E184" i="1"/>
  <c r="E353" i="1"/>
  <c r="F352" i="1"/>
  <c r="H352" i="1" s="1"/>
  <c r="G350" i="1"/>
  <c r="I351" i="1" s="1"/>
  <c r="J351" i="1" s="1"/>
  <c r="K351" i="1" s="1"/>
  <c r="G308" i="1"/>
  <c r="I309" i="1" s="1"/>
  <c r="J309" i="1" s="1"/>
  <c r="K309" i="1" s="1"/>
  <c r="G266" i="1"/>
  <c r="I267" i="1" s="1"/>
  <c r="J267" i="1" s="1"/>
  <c r="K267" i="1" s="1"/>
  <c r="G224" i="1"/>
  <c r="I225" i="1" s="1"/>
  <c r="J225" i="1" s="1"/>
  <c r="K225" i="1" s="1"/>
  <c r="G182" i="1"/>
  <c r="I183" i="1" s="1"/>
  <c r="J183" i="1" s="1"/>
  <c r="K183" i="1" s="1"/>
  <c r="G140" i="1"/>
  <c r="I141" i="1" s="1"/>
  <c r="J141" i="1" s="1"/>
  <c r="K141" i="1" s="1"/>
  <c r="J57" i="8" l="1"/>
  <c r="K57" i="8" s="1"/>
  <c r="L57" i="8" s="1"/>
  <c r="J17" i="8"/>
  <c r="K17" i="8" s="1"/>
  <c r="L17" i="8" s="1"/>
  <c r="F58" i="8"/>
  <c r="G57" i="8"/>
  <c r="H57" i="8" s="1"/>
  <c r="F18" i="8"/>
  <c r="G17" i="8"/>
  <c r="I17" i="8" s="1"/>
  <c r="I59" i="3"/>
  <c r="F59" i="3"/>
  <c r="G59" i="3" s="1"/>
  <c r="E60" i="3"/>
  <c r="J59" i="3"/>
  <c r="K59" i="3" s="1"/>
  <c r="F140" i="4"/>
  <c r="G139" i="4"/>
  <c r="I139" i="4" s="1"/>
  <c r="H139" i="4"/>
  <c r="J140" i="4" s="1"/>
  <c r="F100" i="4"/>
  <c r="G99" i="4"/>
  <c r="I99" i="4" s="1"/>
  <c r="K138" i="4"/>
  <c r="L138" i="4" s="1"/>
  <c r="G100" i="5"/>
  <c r="F101" i="5"/>
  <c r="H99" i="5"/>
  <c r="J100" i="5" s="1"/>
  <c r="J180" i="5"/>
  <c r="K180" i="5" s="1"/>
  <c r="L180" i="5" s="1"/>
  <c r="F181" i="5"/>
  <c r="G180" i="5"/>
  <c r="H180" i="5" s="1"/>
  <c r="H138" i="5"/>
  <c r="J139" i="5" s="1"/>
  <c r="F140" i="5"/>
  <c r="G139" i="5"/>
  <c r="I139" i="5" s="1"/>
  <c r="H139" i="5"/>
  <c r="K137" i="5"/>
  <c r="L137" i="5" s="1"/>
  <c r="K98" i="5"/>
  <c r="L98" i="5" s="1"/>
  <c r="K99" i="4"/>
  <c r="L99" i="4" s="1"/>
  <c r="J60" i="4"/>
  <c r="K60" i="4" s="1"/>
  <c r="G60" i="4"/>
  <c r="I60" i="4"/>
  <c r="H60" i="4"/>
  <c r="J61" i="4" s="1"/>
  <c r="K61" i="4" s="1"/>
  <c r="F61" i="4"/>
  <c r="L58" i="4"/>
  <c r="I59" i="5"/>
  <c r="J60" i="5" s="1"/>
  <c r="K60" i="5" s="1"/>
  <c r="G60" i="5"/>
  <c r="I60" i="5" s="1"/>
  <c r="F61" i="5"/>
  <c r="L59" i="5"/>
  <c r="H57" i="1"/>
  <c r="G17" i="1"/>
  <c r="J19" i="5"/>
  <c r="K19" i="5" s="1"/>
  <c r="L19" i="5" s="1"/>
  <c r="I19" i="5"/>
  <c r="H19" i="5"/>
  <c r="H18" i="3"/>
  <c r="I19" i="3" s="1"/>
  <c r="J19" i="3" s="1"/>
  <c r="K19" i="3" s="1"/>
  <c r="F19" i="3"/>
  <c r="H19" i="3" s="1"/>
  <c r="E20" i="3"/>
  <c r="G140" i="2"/>
  <c r="E141" i="2"/>
  <c r="H140" i="2"/>
  <c r="F140" i="2"/>
  <c r="H139" i="2"/>
  <c r="I140" i="2" s="1"/>
  <c r="J138" i="2"/>
  <c r="K138" i="2" s="1"/>
  <c r="E99" i="2"/>
  <c r="F98" i="2"/>
  <c r="G98" i="2" s="1"/>
  <c r="I17" i="2"/>
  <c r="J17" i="2" s="1"/>
  <c r="K17" i="2" s="1"/>
  <c r="G17" i="2"/>
  <c r="H57" i="2"/>
  <c r="E59" i="2"/>
  <c r="F58" i="2"/>
  <c r="H58" i="2" s="1"/>
  <c r="E19" i="2"/>
  <c r="F18" i="2"/>
  <c r="J98" i="2"/>
  <c r="K98" i="2" s="1"/>
  <c r="I57" i="2"/>
  <c r="J57" i="2" s="1"/>
  <c r="K57" i="2" s="1"/>
  <c r="I18" i="2"/>
  <c r="J18" i="2" s="1"/>
  <c r="K18" i="2" s="1"/>
  <c r="E19" i="1"/>
  <c r="F18" i="1"/>
  <c r="H18" i="1" s="1"/>
  <c r="I18" i="1"/>
  <c r="J18" i="1" s="1"/>
  <c r="K18" i="1" s="1"/>
  <c r="F58" i="1"/>
  <c r="H58" i="1" s="1"/>
  <c r="I58" i="1"/>
  <c r="J58" i="1" s="1"/>
  <c r="K58" i="1" s="1"/>
  <c r="E101" i="1"/>
  <c r="E59" i="1"/>
  <c r="G58" i="1"/>
  <c r="F100" i="1"/>
  <c r="I99" i="1"/>
  <c r="J99" i="1" s="1"/>
  <c r="K99" i="1" s="1"/>
  <c r="F310" i="1"/>
  <c r="H310" i="1" s="1"/>
  <c r="E311" i="1"/>
  <c r="F184" i="1"/>
  <c r="H184" i="1" s="1"/>
  <c r="E185" i="1"/>
  <c r="F269" i="1"/>
  <c r="H269" i="1" s="1"/>
  <c r="E270" i="1"/>
  <c r="F227" i="1"/>
  <c r="H227" i="1" s="1"/>
  <c r="E228" i="1"/>
  <c r="E354" i="1"/>
  <c r="F353" i="1"/>
  <c r="H353" i="1" s="1"/>
  <c r="F142" i="1"/>
  <c r="H142" i="1" s="1"/>
  <c r="G351" i="1"/>
  <c r="I352" i="1" s="1"/>
  <c r="J352" i="1" s="1"/>
  <c r="K352" i="1" s="1"/>
  <c r="G309" i="1"/>
  <c r="I310" i="1" s="1"/>
  <c r="J310" i="1" s="1"/>
  <c r="K310" i="1" s="1"/>
  <c r="G267" i="1"/>
  <c r="I268" i="1" s="1"/>
  <c r="J268" i="1" s="1"/>
  <c r="K268" i="1" s="1"/>
  <c r="G225" i="1"/>
  <c r="I226" i="1" s="1"/>
  <c r="J226" i="1" s="1"/>
  <c r="K226" i="1" s="1"/>
  <c r="G183" i="1"/>
  <c r="I184" i="1" s="1"/>
  <c r="J184" i="1" s="1"/>
  <c r="K184" i="1" s="1"/>
  <c r="G141" i="1"/>
  <c r="I142" i="1" s="1"/>
  <c r="J142" i="1" s="1"/>
  <c r="K142" i="1" s="1"/>
  <c r="F59" i="8" l="1"/>
  <c r="G58" i="8"/>
  <c r="H58" i="8" s="1"/>
  <c r="I57" i="8"/>
  <c r="J58" i="8" s="1"/>
  <c r="K58" i="8" s="1"/>
  <c r="L58" i="8" s="1"/>
  <c r="H17" i="8"/>
  <c r="J18" i="8" s="1"/>
  <c r="K18" i="8" s="1"/>
  <c r="L18" i="8" s="1"/>
  <c r="F19" i="8"/>
  <c r="G18" i="8"/>
  <c r="H18" i="8" s="1"/>
  <c r="E61" i="3"/>
  <c r="F60" i="3"/>
  <c r="G60" i="3" s="1"/>
  <c r="H59" i="3"/>
  <c r="I60" i="3" s="1"/>
  <c r="J60" i="3" s="1"/>
  <c r="K60" i="3" s="1"/>
  <c r="F101" i="4"/>
  <c r="G100" i="4"/>
  <c r="H100" i="4" s="1"/>
  <c r="H99" i="4"/>
  <c r="J100" i="4" s="1"/>
  <c r="K100" i="4" s="1"/>
  <c r="L100" i="4" s="1"/>
  <c r="G140" i="4"/>
  <c r="H140" i="4" s="1"/>
  <c r="F141" i="4"/>
  <c r="I140" i="4"/>
  <c r="J141" i="4" s="1"/>
  <c r="K139" i="4"/>
  <c r="L139" i="4" s="1"/>
  <c r="G101" i="5"/>
  <c r="H101" i="5" s="1"/>
  <c r="F102" i="5"/>
  <c r="H100" i="5"/>
  <c r="I100" i="5"/>
  <c r="F182" i="5"/>
  <c r="G181" i="5"/>
  <c r="H181" i="5" s="1"/>
  <c r="I180" i="5"/>
  <c r="J181" i="5" s="1"/>
  <c r="K181" i="5" s="1"/>
  <c r="L181" i="5" s="1"/>
  <c r="J140" i="5"/>
  <c r="F141" i="5"/>
  <c r="G140" i="5"/>
  <c r="I140" i="5" s="1"/>
  <c r="K139" i="5"/>
  <c r="L139" i="5" s="1"/>
  <c r="K138" i="5"/>
  <c r="L138" i="5" s="1"/>
  <c r="K99" i="5"/>
  <c r="L99" i="5" s="1"/>
  <c r="F62" i="4"/>
  <c r="G61" i="4"/>
  <c r="H61" i="4" s="1"/>
  <c r="L59" i="4"/>
  <c r="H60" i="5"/>
  <c r="J61" i="5" s="1"/>
  <c r="K61" i="5" s="1"/>
  <c r="F62" i="5"/>
  <c r="G61" i="5"/>
  <c r="H61" i="5" s="1"/>
  <c r="L60" i="5"/>
  <c r="G18" i="1"/>
  <c r="I19" i="1" s="1"/>
  <c r="J19" i="1" s="1"/>
  <c r="K19" i="1" s="1"/>
  <c r="H20" i="5"/>
  <c r="J20" i="5"/>
  <c r="K20" i="5" s="1"/>
  <c r="L20" i="5" s="1"/>
  <c r="G19" i="3"/>
  <c r="I20" i="3" s="1"/>
  <c r="J20" i="3" s="1"/>
  <c r="K20" i="3" s="1"/>
  <c r="F20" i="3"/>
  <c r="H20" i="3" s="1"/>
  <c r="E21" i="3"/>
  <c r="F141" i="2"/>
  <c r="E142" i="2"/>
  <c r="G141" i="2"/>
  <c r="H141" i="2"/>
  <c r="I141" i="2"/>
  <c r="J139" i="2"/>
  <c r="K139" i="2" s="1"/>
  <c r="H98" i="2"/>
  <c r="I99" i="2" s="1"/>
  <c r="J99" i="2" s="1"/>
  <c r="K99" i="2" s="1"/>
  <c r="F99" i="2"/>
  <c r="H99" i="2" s="1"/>
  <c r="E100" i="2"/>
  <c r="G99" i="2"/>
  <c r="G58" i="2"/>
  <c r="H18" i="2"/>
  <c r="G18" i="2"/>
  <c r="I19" i="2" s="1"/>
  <c r="J19" i="2" s="1"/>
  <c r="K19" i="2" s="1"/>
  <c r="E20" i="2"/>
  <c r="F19" i="2"/>
  <c r="E60" i="2"/>
  <c r="F59" i="2"/>
  <c r="G59" i="2" s="1"/>
  <c r="I58" i="2"/>
  <c r="J58" i="2" s="1"/>
  <c r="K58" i="2" s="1"/>
  <c r="E20" i="1"/>
  <c r="F19" i="1"/>
  <c r="H19" i="1" s="1"/>
  <c r="F101" i="1"/>
  <c r="H101" i="1" s="1"/>
  <c r="I59" i="1"/>
  <c r="J59" i="1" s="1"/>
  <c r="K59" i="1" s="1"/>
  <c r="H100" i="1"/>
  <c r="E102" i="1"/>
  <c r="G100" i="1"/>
  <c r="E60" i="1"/>
  <c r="F59" i="1"/>
  <c r="H59" i="1" s="1"/>
  <c r="I100" i="1"/>
  <c r="J100" i="1" s="1"/>
  <c r="K100" i="1" s="1"/>
  <c r="F228" i="1"/>
  <c r="H228" i="1" s="1"/>
  <c r="E229" i="1"/>
  <c r="F311" i="1"/>
  <c r="H311" i="1" s="1"/>
  <c r="E312" i="1"/>
  <c r="F143" i="1"/>
  <c r="H143" i="1" s="1"/>
  <c r="E355" i="1"/>
  <c r="F354" i="1"/>
  <c r="H354" i="1" s="1"/>
  <c r="F185" i="1"/>
  <c r="H185" i="1" s="1"/>
  <c r="E186" i="1"/>
  <c r="F270" i="1"/>
  <c r="H270" i="1" s="1"/>
  <c r="E271" i="1"/>
  <c r="G352" i="1"/>
  <c r="I353" i="1" s="1"/>
  <c r="J353" i="1" s="1"/>
  <c r="K353" i="1" s="1"/>
  <c r="G310" i="1"/>
  <c r="I311" i="1" s="1"/>
  <c r="J311" i="1" s="1"/>
  <c r="K311" i="1" s="1"/>
  <c r="G268" i="1"/>
  <c r="I269" i="1" s="1"/>
  <c r="J269" i="1" s="1"/>
  <c r="K269" i="1" s="1"/>
  <c r="G226" i="1"/>
  <c r="I227" i="1" s="1"/>
  <c r="J227" i="1" s="1"/>
  <c r="K227" i="1" s="1"/>
  <c r="G184" i="1"/>
  <c r="I185" i="1" s="1"/>
  <c r="J185" i="1" s="1"/>
  <c r="K185" i="1" s="1"/>
  <c r="G142" i="1"/>
  <c r="I143" i="1" s="1"/>
  <c r="J143" i="1" s="1"/>
  <c r="K143" i="1" s="1"/>
  <c r="I58" i="8" l="1"/>
  <c r="J59" i="8" s="1"/>
  <c r="K59" i="8" s="1"/>
  <c r="L59" i="8" s="1"/>
  <c r="F60" i="8"/>
  <c r="G59" i="8"/>
  <c r="I59" i="8" s="1"/>
  <c r="I18" i="8"/>
  <c r="J19" i="8" s="1"/>
  <c r="K19" i="8" s="1"/>
  <c r="L19" i="8" s="1"/>
  <c r="G19" i="8"/>
  <c r="I19" i="8" s="1"/>
  <c r="F20" i="8"/>
  <c r="I101" i="5"/>
  <c r="H60" i="3"/>
  <c r="I61" i="3" s="1"/>
  <c r="J61" i="3" s="1"/>
  <c r="K61" i="3" s="1"/>
  <c r="F61" i="3"/>
  <c r="G61" i="3" s="1"/>
  <c r="E62" i="3"/>
  <c r="G141" i="4"/>
  <c r="I141" i="4" s="1"/>
  <c r="F142" i="4"/>
  <c r="H141" i="4"/>
  <c r="J142" i="4" s="1"/>
  <c r="I100" i="4"/>
  <c r="J101" i="4" s="1"/>
  <c r="K101" i="4" s="1"/>
  <c r="L101" i="4" s="1"/>
  <c r="G101" i="4"/>
  <c r="I101" i="4" s="1"/>
  <c r="F102" i="4"/>
  <c r="H101" i="4"/>
  <c r="K140" i="4"/>
  <c r="L140" i="4" s="1"/>
  <c r="H140" i="5"/>
  <c r="G102" i="5"/>
  <c r="F103" i="5"/>
  <c r="I102" i="5"/>
  <c r="H102" i="5"/>
  <c r="J101" i="5"/>
  <c r="J102" i="5"/>
  <c r="G182" i="5"/>
  <c r="I182" i="5" s="1"/>
  <c r="F183" i="5"/>
  <c r="I181" i="5"/>
  <c r="J182" i="5" s="1"/>
  <c r="K182" i="5" s="1"/>
  <c r="L182" i="5" s="1"/>
  <c r="G141" i="5"/>
  <c r="H141" i="5" s="1"/>
  <c r="F142" i="5"/>
  <c r="J141" i="5"/>
  <c r="K100" i="5"/>
  <c r="L100" i="5" s="1"/>
  <c r="I61" i="4"/>
  <c r="J62" i="4" s="1"/>
  <c r="K62" i="4" s="1"/>
  <c r="G62" i="4"/>
  <c r="H62" i="4" s="1"/>
  <c r="F63" i="4"/>
  <c r="L60" i="4"/>
  <c r="I61" i="5"/>
  <c r="J62" i="5" s="1"/>
  <c r="K62" i="5" s="1"/>
  <c r="F63" i="5"/>
  <c r="G62" i="5"/>
  <c r="H62" i="5" s="1"/>
  <c r="L61" i="5"/>
  <c r="I21" i="5"/>
  <c r="I20" i="5"/>
  <c r="J21" i="5" s="1"/>
  <c r="K21" i="5" s="1"/>
  <c r="L21" i="5" s="1"/>
  <c r="G20" i="3"/>
  <c r="I21" i="3" s="1"/>
  <c r="J21" i="3" s="1"/>
  <c r="K21" i="3" s="1"/>
  <c r="E22" i="3"/>
  <c r="F21" i="3"/>
  <c r="H21" i="3" s="1"/>
  <c r="I142" i="2"/>
  <c r="E143" i="2"/>
  <c r="F142" i="2"/>
  <c r="H142" i="2" s="1"/>
  <c r="G142" i="2"/>
  <c r="J140" i="2"/>
  <c r="K140" i="2" s="1"/>
  <c r="F100" i="2"/>
  <c r="G100" i="2" s="1"/>
  <c r="E101" i="2"/>
  <c r="H100" i="2"/>
  <c r="I101" i="2" s="1"/>
  <c r="I100" i="2"/>
  <c r="J100" i="2"/>
  <c r="K100" i="2" s="1"/>
  <c r="H59" i="2"/>
  <c r="H19" i="2"/>
  <c r="G19" i="2"/>
  <c r="E21" i="2"/>
  <c r="F20" i="2"/>
  <c r="G20" i="2" s="1"/>
  <c r="E61" i="2"/>
  <c r="F60" i="2"/>
  <c r="H60" i="2" s="1"/>
  <c r="I59" i="2"/>
  <c r="J59" i="2" s="1"/>
  <c r="K59" i="2" s="1"/>
  <c r="G101" i="1"/>
  <c r="G19" i="1"/>
  <c r="I20" i="1" s="1"/>
  <c r="J20" i="1" s="1"/>
  <c r="K20" i="1" s="1"/>
  <c r="E21" i="1"/>
  <c r="F20" i="1"/>
  <c r="G20" i="1" s="1"/>
  <c r="F60" i="1"/>
  <c r="H60" i="1" s="1"/>
  <c r="E61" i="1"/>
  <c r="F61" i="1" s="1"/>
  <c r="E103" i="1"/>
  <c r="G59" i="1"/>
  <c r="I60" i="1" s="1"/>
  <c r="J60" i="1" s="1"/>
  <c r="K60" i="1" s="1"/>
  <c r="F102" i="1"/>
  <c r="I101" i="1"/>
  <c r="J101" i="1" s="1"/>
  <c r="K101" i="1" s="1"/>
  <c r="F229" i="1"/>
  <c r="H229" i="1" s="1"/>
  <c r="E230" i="1"/>
  <c r="E272" i="1"/>
  <c r="F271" i="1"/>
  <c r="H271" i="1" s="1"/>
  <c r="F312" i="1"/>
  <c r="H312" i="1" s="1"/>
  <c r="E313" i="1"/>
  <c r="F186" i="1"/>
  <c r="H186" i="1" s="1"/>
  <c r="E187" i="1"/>
  <c r="F355" i="1"/>
  <c r="H355" i="1" s="1"/>
  <c r="E356" i="1"/>
  <c r="F144" i="1"/>
  <c r="H144" i="1" s="1"/>
  <c r="G353" i="1"/>
  <c r="I354" i="1" s="1"/>
  <c r="J354" i="1" s="1"/>
  <c r="K354" i="1" s="1"/>
  <c r="G311" i="1"/>
  <c r="I312" i="1" s="1"/>
  <c r="J312" i="1" s="1"/>
  <c r="K312" i="1" s="1"/>
  <c r="G269" i="1"/>
  <c r="I270" i="1" s="1"/>
  <c r="J270" i="1" s="1"/>
  <c r="K270" i="1" s="1"/>
  <c r="G227" i="1"/>
  <c r="I228" i="1" s="1"/>
  <c r="J228" i="1" s="1"/>
  <c r="K228" i="1" s="1"/>
  <c r="G185" i="1"/>
  <c r="I186" i="1" s="1"/>
  <c r="J186" i="1" s="1"/>
  <c r="K186" i="1" s="1"/>
  <c r="G143" i="1"/>
  <c r="I144" i="1" s="1"/>
  <c r="J144" i="1" s="1"/>
  <c r="K144" i="1" s="1"/>
  <c r="H59" i="8" l="1"/>
  <c r="J60" i="8" s="1"/>
  <c r="K60" i="8" s="1"/>
  <c r="L60" i="8" s="1"/>
  <c r="H19" i="8"/>
  <c r="J20" i="8" s="1"/>
  <c r="K20" i="8" s="1"/>
  <c r="L20" i="8" s="1"/>
  <c r="F61" i="8"/>
  <c r="G60" i="8"/>
  <c r="H60" i="8" s="1"/>
  <c r="G20" i="8"/>
  <c r="I20" i="8" s="1"/>
  <c r="F21" i="8"/>
  <c r="H61" i="3"/>
  <c r="I62" i="3"/>
  <c r="J62" i="3" s="1"/>
  <c r="K62" i="3" s="1"/>
  <c r="F62" i="3"/>
  <c r="H62" i="3" s="1"/>
  <c r="E63" i="3"/>
  <c r="J102" i="4"/>
  <c r="G102" i="4"/>
  <c r="H102" i="4" s="1"/>
  <c r="F103" i="4"/>
  <c r="I102" i="4"/>
  <c r="J103" i="4" s="1"/>
  <c r="F143" i="4"/>
  <c r="G142" i="4"/>
  <c r="I142" i="4" s="1"/>
  <c r="K141" i="4"/>
  <c r="L141" i="4" s="1"/>
  <c r="G103" i="5"/>
  <c r="I103" i="5" s="1"/>
  <c r="F104" i="5"/>
  <c r="I62" i="5"/>
  <c r="H103" i="5"/>
  <c r="J104" i="5" s="1"/>
  <c r="H182" i="5"/>
  <c r="J183" i="5" s="1"/>
  <c r="K183" i="5" s="1"/>
  <c r="L183" i="5" s="1"/>
  <c r="J103" i="5"/>
  <c r="G183" i="5"/>
  <c r="H183" i="5" s="1"/>
  <c r="F184" i="5"/>
  <c r="G142" i="5"/>
  <c r="I142" i="5" s="1"/>
  <c r="F143" i="5"/>
  <c r="I141" i="5"/>
  <c r="J142" i="5" s="1"/>
  <c r="K140" i="5"/>
  <c r="L140" i="5" s="1"/>
  <c r="K101" i="5"/>
  <c r="L101" i="5" s="1"/>
  <c r="K102" i="4"/>
  <c r="L102" i="4" s="1"/>
  <c r="I62" i="4"/>
  <c r="J63" i="4" s="1"/>
  <c r="K63" i="4" s="1"/>
  <c r="F64" i="4"/>
  <c r="G63" i="4"/>
  <c r="H63" i="4" s="1"/>
  <c r="I63" i="4"/>
  <c r="L61" i="4"/>
  <c r="J63" i="5"/>
  <c r="K63" i="5" s="1"/>
  <c r="F64" i="5"/>
  <c r="G63" i="5"/>
  <c r="H63" i="5" s="1"/>
  <c r="L62" i="5"/>
  <c r="H21" i="5"/>
  <c r="J22" i="5" s="1"/>
  <c r="K22" i="5" s="1"/>
  <c r="L22" i="5" s="1"/>
  <c r="I22" i="5"/>
  <c r="G21" i="3"/>
  <c r="I22" i="3" s="1"/>
  <c r="J22" i="3" s="1"/>
  <c r="K22" i="3" s="1"/>
  <c r="E23" i="3"/>
  <c r="F22" i="3"/>
  <c r="H22" i="3" s="1"/>
  <c r="I143" i="2"/>
  <c r="F143" i="2"/>
  <c r="H143" i="2" s="1"/>
  <c r="E144" i="2"/>
  <c r="J141" i="2"/>
  <c r="K141" i="2" s="1"/>
  <c r="E102" i="2"/>
  <c r="F101" i="2"/>
  <c r="H101" i="2" s="1"/>
  <c r="I20" i="2"/>
  <c r="J20" i="2" s="1"/>
  <c r="K20" i="2" s="1"/>
  <c r="G60" i="2"/>
  <c r="H20" i="2"/>
  <c r="I21" i="2" s="1"/>
  <c r="J21" i="2" s="1"/>
  <c r="K21" i="2" s="1"/>
  <c r="J101" i="2"/>
  <c r="K101" i="2" s="1"/>
  <c r="E62" i="2"/>
  <c r="F61" i="2"/>
  <c r="G61" i="2" s="1"/>
  <c r="E22" i="2"/>
  <c r="F21" i="2"/>
  <c r="I60" i="2"/>
  <c r="J60" i="2" s="1"/>
  <c r="K60" i="2" s="1"/>
  <c r="H20" i="1"/>
  <c r="I21" i="1" s="1"/>
  <c r="J21" i="1" s="1"/>
  <c r="K21" i="1" s="1"/>
  <c r="E22" i="1"/>
  <c r="F21" i="1"/>
  <c r="H21" i="1" s="1"/>
  <c r="G21" i="1"/>
  <c r="F103" i="1"/>
  <c r="G103" i="1" s="1"/>
  <c r="G102" i="1"/>
  <c r="H102" i="1"/>
  <c r="G60" i="1"/>
  <c r="I61" i="1" s="1"/>
  <c r="J61" i="1" s="1"/>
  <c r="K61" i="1" s="1"/>
  <c r="E104" i="1"/>
  <c r="E62" i="1"/>
  <c r="G61" i="1"/>
  <c r="H61" i="1"/>
  <c r="I102" i="1"/>
  <c r="J102" i="1" s="1"/>
  <c r="K102" i="1" s="1"/>
  <c r="E231" i="1"/>
  <c r="F230" i="1"/>
  <c r="H230" i="1" s="1"/>
  <c r="F187" i="1"/>
  <c r="H187" i="1" s="1"/>
  <c r="E188" i="1"/>
  <c r="E357" i="1"/>
  <c r="F356" i="1"/>
  <c r="H356" i="1" s="1"/>
  <c r="F272" i="1"/>
  <c r="H272" i="1" s="1"/>
  <c r="E273" i="1"/>
  <c r="F145" i="1"/>
  <c r="H145" i="1" s="1"/>
  <c r="F313" i="1"/>
  <c r="H313" i="1" s="1"/>
  <c r="E314" i="1"/>
  <c r="G354" i="1"/>
  <c r="I355" i="1" s="1"/>
  <c r="J355" i="1" s="1"/>
  <c r="K355" i="1" s="1"/>
  <c r="G312" i="1"/>
  <c r="I313" i="1" s="1"/>
  <c r="J313" i="1" s="1"/>
  <c r="K313" i="1" s="1"/>
  <c r="G270" i="1"/>
  <c r="I271" i="1" s="1"/>
  <c r="J271" i="1" s="1"/>
  <c r="K271" i="1" s="1"/>
  <c r="G228" i="1"/>
  <c r="I229" i="1" s="1"/>
  <c r="J229" i="1" s="1"/>
  <c r="K229" i="1" s="1"/>
  <c r="G186" i="1"/>
  <c r="I187" i="1" s="1"/>
  <c r="J187" i="1" s="1"/>
  <c r="K187" i="1" s="1"/>
  <c r="G144" i="1"/>
  <c r="I145" i="1" s="1"/>
  <c r="J145" i="1" s="1"/>
  <c r="K145" i="1" s="1"/>
  <c r="F62" i="8" l="1"/>
  <c r="G61" i="8"/>
  <c r="I61" i="8" s="1"/>
  <c r="I60" i="8"/>
  <c r="J61" i="8" s="1"/>
  <c r="K61" i="8" s="1"/>
  <c r="L61" i="8" s="1"/>
  <c r="F22" i="8"/>
  <c r="G21" i="8"/>
  <c r="I21" i="8" s="1"/>
  <c r="H20" i="8"/>
  <c r="J21" i="8" s="1"/>
  <c r="K21" i="8" s="1"/>
  <c r="L21" i="8" s="1"/>
  <c r="E64" i="3"/>
  <c r="F63" i="3"/>
  <c r="H63" i="3" s="1"/>
  <c r="G62" i="3"/>
  <c r="I63" i="3" s="1"/>
  <c r="J63" i="3" s="1"/>
  <c r="K63" i="3" s="1"/>
  <c r="F104" i="4"/>
  <c r="G103" i="4"/>
  <c r="H103" i="4" s="1"/>
  <c r="I103" i="4"/>
  <c r="J104" i="4" s="1"/>
  <c r="H142" i="4"/>
  <c r="J143" i="4" s="1"/>
  <c r="F144" i="4"/>
  <c r="G143" i="4"/>
  <c r="I143" i="4" s="1"/>
  <c r="H143" i="4"/>
  <c r="J144" i="4" s="1"/>
  <c r="K142" i="4"/>
  <c r="L142" i="4" s="1"/>
  <c r="F105" i="5"/>
  <c r="G104" i="5"/>
  <c r="I183" i="5"/>
  <c r="J184" i="5" s="1"/>
  <c r="K184" i="5" s="1"/>
  <c r="L184" i="5" s="1"/>
  <c r="F185" i="5"/>
  <c r="G184" i="5"/>
  <c r="H184" i="5" s="1"/>
  <c r="H142" i="5"/>
  <c r="J143" i="5" s="1"/>
  <c r="G143" i="5"/>
  <c r="I143" i="5" s="1"/>
  <c r="F144" i="5"/>
  <c r="K141" i="5"/>
  <c r="L141" i="5" s="1"/>
  <c r="K102" i="5"/>
  <c r="L102" i="5" s="1"/>
  <c r="K103" i="4"/>
  <c r="L103" i="4" s="1"/>
  <c r="J64" i="4"/>
  <c r="K64" i="4" s="1"/>
  <c r="G64" i="4"/>
  <c r="H64" i="4" s="1"/>
  <c r="F65" i="4"/>
  <c r="I64" i="4"/>
  <c r="L62" i="4"/>
  <c r="I63" i="5"/>
  <c r="J64" i="5" s="1"/>
  <c r="K64" i="5" s="1"/>
  <c r="G64" i="5"/>
  <c r="I64" i="5" s="1"/>
  <c r="F65" i="5"/>
  <c r="L63" i="5"/>
  <c r="H22" i="5"/>
  <c r="J23" i="5" s="1"/>
  <c r="K23" i="5" s="1"/>
  <c r="L23" i="5" s="1"/>
  <c r="I23" i="5"/>
  <c r="H23" i="5"/>
  <c r="E24" i="3"/>
  <c r="F23" i="3"/>
  <c r="H23" i="3" s="1"/>
  <c r="G22" i="3"/>
  <c r="I23" i="3" s="1"/>
  <c r="J23" i="3" s="1"/>
  <c r="K23" i="3" s="1"/>
  <c r="G143" i="2"/>
  <c r="I144" i="2" s="1"/>
  <c r="G144" i="2"/>
  <c r="H144" i="2"/>
  <c r="E145" i="2"/>
  <c r="F144" i="2"/>
  <c r="J142" i="2"/>
  <c r="K142" i="2" s="1"/>
  <c r="G101" i="2"/>
  <c r="I102" i="2" s="1"/>
  <c r="F102" i="2"/>
  <c r="G102" i="2" s="1"/>
  <c r="I103" i="2" s="1"/>
  <c r="H102" i="2"/>
  <c r="E103" i="2"/>
  <c r="J102" i="2"/>
  <c r="K102" i="2" s="1"/>
  <c r="G21" i="2"/>
  <c r="H21" i="2"/>
  <c r="E23" i="2"/>
  <c r="F22" i="2"/>
  <c r="G22" i="2" s="1"/>
  <c r="E63" i="2"/>
  <c r="F62" i="2"/>
  <c r="H62" i="2" s="1"/>
  <c r="H61" i="2"/>
  <c r="I61" i="2"/>
  <c r="J61" i="2" s="1"/>
  <c r="K61" i="2" s="1"/>
  <c r="E23" i="1"/>
  <c r="F22" i="1"/>
  <c r="G22" i="1" s="1"/>
  <c r="H22" i="1"/>
  <c r="I22" i="1"/>
  <c r="J22" i="1" s="1"/>
  <c r="K22" i="1" s="1"/>
  <c r="H103" i="1"/>
  <c r="I62" i="1"/>
  <c r="J62" i="1" s="1"/>
  <c r="K62" i="1" s="1"/>
  <c r="E105" i="1"/>
  <c r="E63" i="1"/>
  <c r="F104" i="1"/>
  <c r="H104" i="1" s="1"/>
  <c r="F62" i="1"/>
  <c r="I103" i="1"/>
  <c r="J103" i="1" s="1"/>
  <c r="K103" i="1" s="1"/>
  <c r="E358" i="1"/>
  <c r="F357" i="1"/>
  <c r="H357" i="1" s="1"/>
  <c r="F314" i="1"/>
  <c r="H314" i="1" s="1"/>
  <c r="E315" i="1"/>
  <c r="F146" i="1"/>
  <c r="H146" i="1" s="1"/>
  <c r="F188" i="1"/>
  <c r="H188" i="1" s="1"/>
  <c r="E189" i="1"/>
  <c r="F231" i="1"/>
  <c r="H231" i="1" s="1"/>
  <c r="E232" i="1"/>
  <c r="F273" i="1"/>
  <c r="H273" i="1" s="1"/>
  <c r="E274" i="1"/>
  <c r="G355" i="1"/>
  <c r="I356" i="1" s="1"/>
  <c r="J356" i="1" s="1"/>
  <c r="K356" i="1" s="1"/>
  <c r="G313" i="1"/>
  <c r="I314" i="1" s="1"/>
  <c r="J314" i="1" s="1"/>
  <c r="K314" i="1" s="1"/>
  <c r="G271" i="1"/>
  <c r="I272" i="1" s="1"/>
  <c r="J272" i="1" s="1"/>
  <c r="K272" i="1" s="1"/>
  <c r="G229" i="1"/>
  <c r="I230" i="1" s="1"/>
  <c r="J230" i="1" s="1"/>
  <c r="K230" i="1" s="1"/>
  <c r="G187" i="1"/>
  <c r="I188" i="1" s="1"/>
  <c r="J188" i="1" s="1"/>
  <c r="K188" i="1" s="1"/>
  <c r="G145" i="1"/>
  <c r="I146" i="1" s="1"/>
  <c r="J146" i="1" s="1"/>
  <c r="K146" i="1" s="1"/>
  <c r="H61" i="8" l="1"/>
  <c r="J62" i="8" s="1"/>
  <c r="K62" i="8" s="1"/>
  <c r="L62" i="8" s="1"/>
  <c r="F63" i="8"/>
  <c r="G62" i="8"/>
  <c r="H62" i="8" s="1"/>
  <c r="H21" i="8"/>
  <c r="J22" i="8" s="1"/>
  <c r="K22" i="8" s="1"/>
  <c r="L22" i="8" s="1"/>
  <c r="F23" i="8"/>
  <c r="G22" i="8"/>
  <c r="I22" i="8" s="1"/>
  <c r="G63" i="3"/>
  <c r="I64" i="3" s="1"/>
  <c r="G64" i="3"/>
  <c r="E65" i="3"/>
  <c r="F64" i="3"/>
  <c r="H64" i="3" s="1"/>
  <c r="J64" i="3"/>
  <c r="K64" i="3" s="1"/>
  <c r="F145" i="4"/>
  <c r="G144" i="4"/>
  <c r="I144" i="4" s="1"/>
  <c r="H144" i="4"/>
  <c r="J145" i="4" s="1"/>
  <c r="G104" i="4"/>
  <c r="I104" i="4" s="1"/>
  <c r="F105" i="4"/>
  <c r="K143" i="4"/>
  <c r="L143" i="4" s="1"/>
  <c r="H143" i="5"/>
  <c r="H104" i="5"/>
  <c r="I104" i="5"/>
  <c r="G105" i="5"/>
  <c r="F106" i="5"/>
  <c r="I184" i="5"/>
  <c r="J185" i="5" s="1"/>
  <c r="K185" i="5" s="1"/>
  <c r="L185" i="5" s="1"/>
  <c r="F186" i="5"/>
  <c r="G185" i="5"/>
  <c r="H185" i="5" s="1"/>
  <c r="J144" i="5"/>
  <c r="H144" i="5"/>
  <c r="G144" i="5"/>
  <c r="I144" i="5" s="1"/>
  <c r="F145" i="5"/>
  <c r="K142" i="5"/>
  <c r="L142" i="5" s="1"/>
  <c r="K103" i="5"/>
  <c r="L103" i="5" s="1"/>
  <c r="K143" i="5"/>
  <c r="L143" i="5" s="1"/>
  <c r="K104" i="4"/>
  <c r="L104" i="4" s="1"/>
  <c r="J65" i="4"/>
  <c r="K65" i="4" s="1"/>
  <c r="F66" i="4"/>
  <c r="G65" i="4"/>
  <c r="H65" i="4" s="1"/>
  <c r="I65" i="4"/>
  <c r="L63" i="4"/>
  <c r="H64" i="5"/>
  <c r="J65" i="5" s="1"/>
  <c r="K65" i="5" s="1"/>
  <c r="F66" i="5"/>
  <c r="G65" i="5"/>
  <c r="H65" i="5" s="1"/>
  <c r="L64" i="5"/>
  <c r="J24" i="5"/>
  <c r="K24" i="5" s="1"/>
  <c r="L24" i="5" s="1"/>
  <c r="H24" i="5"/>
  <c r="I24" i="5"/>
  <c r="G23" i="3"/>
  <c r="I24" i="3" s="1"/>
  <c r="J24" i="3" s="1"/>
  <c r="K24" i="3" s="1"/>
  <c r="F24" i="3"/>
  <c r="G24" i="3" s="1"/>
  <c r="E25" i="3"/>
  <c r="F145" i="2"/>
  <c r="E146" i="2"/>
  <c r="G145" i="2"/>
  <c r="H145" i="2"/>
  <c r="I145" i="2"/>
  <c r="J143" i="2"/>
  <c r="K143" i="2" s="1"/>
  <c r="F103" i="2"/>
  <c r="G103" i="2" s="1"/>
  <c r="E104" i="2"/>
  <c r="H103" i="2"/>
  <c r="I104" i="2" s="1"/>
  <c r="I22" i="2"/>
  <c r="J22" i="2" s="1"/>
  <c r="K22" i="2" s="1"/>
  <c r="G62" i="2"/>
  <c r="H22" i="2"/>
  <c r="I23" i="2" s="1"/>
  <c r="J23" i="2" s="1"/>
  <c r="K23" i="2" s="1"/>
  <c r="E64" i="2"/>
  <c r="F63" i="2"/>
  <c r="H63" i="2" s="1"/>
  <c r="E24" i="2"/>
  <c r="F23" i="2"/>
  <c r="H23" i="2" s="1"/>
  <c r="J103" i="2"/>
  <c r="K103" i="2" s="1"/>
  <c r="I62" i="2"/>
  <c r="J62" i="2" s="1"/>
  <c r="K62" i="2" s="1"/>
  <c r="E24" i="1"/>
  <c r="F23" i="1"/>
  <c r="G23" i="1" s="1"/>
  <c r="I23" i="1"/>
  <c r="J23" i="1" s="1"/>
  <c r="K23" i="1" s="1"/>
  <c r="F63" i="1"/>
  <c r="G63" i="1" s="1"/>
  <c r="F105" i="1"/>
  <c r="G105" i="1" s="1"/>
  <c r="E64" i="1"/>
  <c r="G104" i="1"/>
  <c r="H62" i="1"/>
  <c r="G62" i="1"/>
  <c r="E106" i="1"/>
  <c r="I104" i="1"/>
  <c r="J104" i="1" s="1"/>
  <c r="K104" i="1" s="1"/>
  <c r="F189" i="1"/>
  <c r="H189" i="1" s="1"/>
  <c r="E190" i="1"/>
  <c r="F232" i="1"/>
  <c r="H232" i="1" s="1"/>
  <c r="E233" i="1"/>
  <c r="F274" i="1"/>
  <c r="H274" i="1" s="1"/>
  <c r="E275" i="1"/>
  <c r="F315" i="1"/>
  <c r="H315" i="1" s="1"/>
  <c r="E316" i="1"/>
  <c r="E359" i="1"/>
  <c r="F358" i="1"/>
  <c r="H358" i="1" s="1"/>
  <c r="F147" i="1"/>
  <c r="H147" i="1" s="1"/>
  <c r="G356" i="1"/>
  <c r="I357" i="1" s="1"/>
  <c r="J357" i="1" s="1"/>
  <c r="K357" i="1" s="1"/>
  <c r="G314" i="1"/>
  <c r="I315" i="1" s="1"/>
  <c r="J315" i="1" s="1"/>
  <c r="K315" i="1" s="1"/>
  <c r="G272" i="1"/>
  <c r="I273" i="1" s="1"/>
  <c r="J273" i="1" s="1"/>
  <c r="K273" i="1" s="1"/>
  <c r="G230" i="1"/>
  <c r="I231" i="1" s="1"/>
  <c r="J231" i="1" s="1"/>
  <c r="K231" i="1" s="1"/>
  <c r="G188" i="1"/>
  <c r="I189" i="1" s="1"/>
  <c r="J189" i="1" s="1"/>
  <c r="K189" i="1" s="1"/>
  <c r="G146" i="1"/>
  <c r="I147" i="1" s="1"/>
  <c r="J147" i="1" s="1"/>
  <c r="K147" i="1" s="1"/>
  <c r="H22" i="8" l="1"/>
  <c r="J23" i="8" s="1"/>
  <c r="K23" i="8" s="1"/>
  <c r="L23" i="8" s="1"/>
  <c r="F64" i="8"/>
  <c r="G63" i="8"/>
  <c r="H63" i="8" s="1"/>
  <c r="I62" i="8"/>
  <c r="J63" i="8" s="1"/>
  <c r="K63" i="8" s="1"/>
  <c r="L63" i="8" s="1"/>
  <c r="G23" i="8"/>
  <c r="H23" i="8" s="1"/>
  <c r="F24" i="8"/>
  <c r="J105" i="5"/>
  <c r="F65" i="3"/>
  <c r="E66" i="3"/>
  <c r="G65" i="3"/>
  <c r="H65" i="3"/>
  <c r="I65" i="3"/>
  <c r="J65" i="3"/>
  <c r="K65" i="3" s="1"/>
  <c r="H104" i="4"/>
  <c r="J105" i="4" s="1"/>
  <c r="G105" i="4"/>
  <c r="F106" i="4"/>
  <c r="I105" i="4"/>
  <c r="H105" i="4"/>
  <c r="G145" i="4"/>
  <c r="F146" i="4"/>
  <c r="H145" i="4"/>
  <c r="J146" i="4" s="1"/>
  <c r="I145" i="4"/>
  <c r="K144" i="4"/>
  <c r="L144" i="4" s="1"/>
  <c r="H105" i="5"/>
  <c r="I105" i="5"/>
  <c r="J106" i="5" s="1"/>
  <c r="G106" i="5"/>
  <c r="F107" i="5"/>
  <c r="I185" i="5"/>
  <c r="J186" i="5"/>
  <c r="K186" i="5" s="1"/>
  <c r="L186" i="5" s="1"/>
  <c r="G186" i="5"/>
  <c r="I186" i="5" s="1"/>
  <c r="H186" i="5"/>
  <c r="F187" i="5"/>
  <c r="J145" i="5"/>
  <c r="G145" i="5"/>
  <c r="H145" i="5" s="1"/>
  <c r="F146" i="5"/>
  <c r="K144" i="5"/>
  <c r="L144" i="5" s="1"/>
  <c r="K104" i="5"/>
  <c r="L104" i="5" s="1"/>
  <c r="K105" i="4"/>
  <c r="L105" i="4" s="1"/>
  <c r="J66" i="4"/>
  <c r="K66" i="4" s="1"/>
  <c r="G66" i="4"/>
  <c r="H66" i="4" s="1"/>
  <c r="F67" i="4"/>
  <c r="I66" i="4"/>
  <c r="L64" i="4"/>
  <c r="I65" i="5"/>
  <c r="J66" i="5" s="1"/>
  <c r="K66" i="5" s="1"/>
  <c r="L66" i="5" s="1"/>
  <c r="G66" i="5"/>
  <c r="I66" i="5" s="1"/>
  <c r="F67" i="5"/>
  <c r="L65" i="5"/>
  <c r="H23" i="1"/>
  <c r="I24" i="1" s="1"/>
  <c r="J24" i="1" s="1"/>
  <c r="K24" i="1" s="1"/>
  <c r="J25" i="5"/>
  <c r="K25" i="5" s="1"/>
  <c r="L25" i="5" s="1"/>
  <c r="H25" i="5"/>
  <c r="H24" i="3"/>
  <c r="I25" i="3" s="1"/>
  <c r="J25" i="3" s="1"/>
  <c r="K25" i="3" s="1"/>
  <c r="E26" i="3"/>
  <c r="F25" i="3"/>
  <c r="H25" i="3" s="1"/>
  <c r="I146" i="2"/>
  <c r="E147" i="2"/>
  <c r="F146" i="2"/>
  <c r="H146" i="2" s="1"/>
  <c r="G146" i="2"/>
  <c r="J144" i="2"/>
  <c r="K144" i="2" s="1"/>
  <c r="F104" i="2"/>
  <c r="H104" i="2" s="1"/>
  <c r="E105" i="2"/>
  <c r="E25" i="2"/>
  <c r="F24" i="2"/>
  <c r="G63" i="2"/>
  <c r="J104" i="2"/>
  <c r="K104" i="2" s="1"/>
  <c r="E65" i="2"/>
  <c r="F64" i="2"/>
  <c r="H64" i="2" s="1"/>
  <c r="G23" i="2"/>
  <c r="I24" i="2" s="1"/>
  <c r="J24" i="2" s="1"/>
  <c r="K24" i="2" s="1"/>
  <c r="I63" i="2"/>
  <c r="J63" i="2" s="1"/>
  <c r="K63" i="2" s="1"/>
  <c r="E25" i="1"/>
  <c r="F24" i="1"/>
  <c r="H24" i="1" s="1"/>
  <c r="G24" i="1"/>
  <c r="H63" i="1"/>
  <c r="I64" i="1" s="1"/>
  <c r="J64" i="1" s="1"/>
  <c r="K64" i="1" s="1"/>
  <c r="H105" i="1"/>
  <c r="I63" i="1"/>
  <c r="J63" i="1" s="1"/>
  <c r="K63" i="1" s="1"/>
  <c r="E65" i="1"/>
  <c r="E107" i="1"/>
  <c r="F106" i="1"/>
  <c r="G106" i="1" s="1"/>
  <c r="F64" i="1"/>
  <c r="I105" i="1"/>
  <c r="J105" i="1" s="1"/>
  <c r="K105" i="1" s="1"/>
  <c r="F316" i="1"/>
  <c r="H316" i="1" s="1"/>
  <c r="E317" i="1"/>
  <c r="F190" i="1"/>
  <c r="H190" i="1" s="1"/>
  <c r="E191" i="1"/>
  <c r="F148" i="1"/>
  <c r="H148" i="1" s="1"/>
  <c r="F359" i="1"/>
  <c r="H359" i="1" s="1"/>
  <c r="E360" i="1"/>
  <c r="F233" i="1"/>
  <c r="H233" i="1" s="1"/>
  <c r="E234" i="1"/>
  <c r="F275" i="1"/>
  <c r="H275" i="1" s="1"/>
  <c r="E276" i="1"/>
  <c r="G357" i="1"/>
  <c r="I358" i="1" s="1"/>
  <c r="J358" i="1" s="1"/>
  <c r="K358" i="1" s="1"/>
  <c r="G315" i="1"/>
  <c r="I316" i="1" s="1"/>
  <c r="J316" i="1" s="1"/>
  <c r="K316" i="1" s="1"/>
  <c r="G273" i="1"/>
  <c r="I274" i="1" s="1"/>
  <c r="J274" i="1" s="1"/>
  <c r="K274" i="1" s="1"/>
  <c r="G231" i="1"/>
  <c r="I232" i="1" s="1"/>
  <c r="J232" i="1" s="1"/>
  <c r="K232" i="1" s="1"/>
  <c r="G189" i="1"/>
  <c r="I190" i="1" s="1"/>
  <c r="J190" i="1" s="1"/>
  <c r="K190" i="1" s="1"/>
  <c r="G147" i="1"/>
  <c r="I148" i="1" s="1"/>
  <c r="J148" i="1" s="1"/>
  <c r="K148" i="1" s="1"/>
  <c r="I23" i="8" l="1"/>
  <c r="J24" i="8" s="1"/>
  <c r="K24" i="8" s="1"/>
  <c r="L24" i="8" s="1"/>
  <c r="F65" i="8"/>
  <c r="G64" i="8"/>
  <c r="H64" i="8" s="1"/>
  <c r="I64" i="8"/>
  <c r="I63" i="8"/>
  <c r="J64" i="8" s="1"/>
  <c r="K64" i="8" s="1"/>
  <c r="L64" i="8" s="1"/>
  <c r="G24" i="8"/>
  <c r="H24" i="8" s="1"/>
  <c r="F25" i="8"/>
  <c r="I66" i="3"/>
  <c r="J66" i="3" s="1"/>
  <c r="K66" i="3" s="1"/>
  <c r="F66" i="3"/>
  <c r="H66" i="3" s="1"/>
  <c r="E67" i="3"/>
  <c r="F147" i="4"/>
  <c r="G146" i="4"/>
  <c r="I146" i="4" s="1"/>
  <c r="H146" i="4"/>
  <c r="J147" i="4" s="1"/>
  <c r="I106" i="4"/>
  <c r="G106" i="4"/>
  <c r="F107" i="4"/>
  <c r="H106" i="4"/>
  <c r="J106" i="4"/>
  <c r="K145" i="4"/>
  <c r="L145" i="4" s="1"/>
  <c r="G107" i="5"/>
  <c r="I107" i="5" s="1"/>
  <c r="F108" i="5"/>
  <c r="H106" i="5"/>
  <c r="I106" i="5"/>
  <c r="H107" i="5"/>
  <c r="J108" i="5" s="1"/>
  <c r="J187" i="5"/>
  <c r="K187" i="5" s="1"/>
  <c r="L187" i="5" s="1"/>
  <c r="F188" i="5"/>
  <c r="G187" i="5"/>
  <c r="H187" i="5" s="1"/>
  <c r="I145" i="5"/>
  <c r="J146" i="5" s="1"/>
  <c r="G146" i="5"/>
  <c r="I146" i="5" s="1"/>
  <c r="F147" i="5"/>
  <c r="H146" i="5"/>
  <c r="K105" i="5"/>
  <c r="L105" i="5" s="1"/>
  <c r="K106" i="4"/>
  <c r="L106" i="4" s="1"/>
  <c r="J67" i="4"/>
  <c r="K67" i="4" s="1"/>
  <c r="F68" i="4"/>
  <c r="G67" i="4"/>
  <c r="H67" i="4" s="1"/>
  <c r="L65" i="4"/>
  <c r="H66" i="5"/>
  <c r="J67" i="5" s="1"/>
  <c r="K67" i="5" s="1"/>
  <c r="F68" i="5"/>
  <c r="G67" i="5"/>
  <c r="H67" i="5" s="1"/>
  <c r="I25" i="5"/>
  <c r="J26" i="5" s="1"/>
  <c r="K26" i="5" s="1"/>
  <c r="L26" i="5" s="1"/>
  <c r="I26" i="5"/>
  <c r="H26" i="5"/>
  <c r="G25" i="3"/>
  <c r="I26" i="3" s="1"/>
  <c r="J26" i="3" s="1"/>
  <c r="K26" i="3" s="1"/>
  <c r="F26" i="3"/>
  <c r="G26" i="3" s="1"/>
  <c r="E27" i="3"/>
  <c r="I147" i="2"/>
  <c r="F147" i="2"/>
  <c r="H147" i="2" s="1"/>
  <c r="E148" i="2"/>
  <c r="J145" i="2"/>
  <c r="K145" i="2" s="1"/>
  <c r="G104" i="2"/>
  <c r="I105" i="2" s="1"/>
  <c r="F105" i="2"/>
  <c r="G105" i="2" s="1"/>
  <c r="E106" i="2"/>
  <c r="H105" i="2"/>
  <c r="J105" i="2"/>
  <c r="K105" i="2" s="1"/>
  <c r="G64" i="2"/>
  <c r="H24" i="2"/>
  <c r="G24" i="2"/>
  <c r="E66" i="2"/>
  <c r="F65" i="2"/>
  <c r="H65" i="2" s="1"/>
  <c r="E26" i="2"/>
  <c r="F25" i="2"/>
  <c r="I64" i="2"/>
  <c r="J64" i="2" s="1"/>
  <c r="K64" i="2" s="1"/>
  <c r="E26" i="1"/>
  <c r="F25" i="1"/>
  <c r="H25" i="1" s="1"/>
  <c r="I25" i="1"/>
  <c r="J25" i="1" s="1"/>
  <c r="K25" i="1" s="1"/>
  <c r="F65" i="1"/>
  <c r="H65" i="1" s="1"/>
  <c r="F107" i="1"/>
  <c r="G107" i="1" s="1"/>
  <c r="G64" i="1"/>
  <c r="H64" i="1"/>
  <c r="E108" i="1"/>
  <c r="H106" i="1"/>
  <c r="E66" i="1"/>
  <c r="E235" i="1"/>
  <c r="F234" i="1"/>
  <c r="H234" i="1" s="1"/>
  <c r="F317" i="1"/>
  <c r="H317" i="1" s="1"/>
  <c r="E318" i="1"/>
  <c r="F276" i="1"/>
  <c r="H276" i="1" s="1"/>
  <c r="E277" i="1"/>
  <c r="E361" i="1"/>
  <c r="F360" i="1"/>
  <c r="H360" i="1" s="1"/>
  <c r="I106" i="1"/>
  <c r="J106" i="1" s="1"/>
  <c r="K106" i="1" s="1"/>
  <c r="F191" i="1"/>
  <c r="H191" i="1" s="1"/>
  <c r="E192" i="1"/>
  <c r="F149" i="1"/>
  <c r="H149" i="1" s="1"/>
  <c r="G358" i="1"/>
  <c r="I359" i="1" s="1"/>
  <c r="J359" i="1" s="1"/>
  <c r="K359" i="1" s="1"/>
  <c r="G316" i="1"/>
  <c r="I317" i="1" s="1"/>
  <c r="J317" i="1" s="1"/>
  <c r="K317" i="1" s="1"/>
  <c r="G274" i="1"/>
  <c r="I275" i="1" s="1"/>
  <c r="J275" i="1" s="1"/>
  <c r="K275" i="1" s="1"/>
  <c r="G232" i="1"/>
  <c r="I233" i="1" s="1"/>
  <c r="J233" i="1" s="1"/>
  <c r="K233" i="1" s="1"/>
  <c r="G190" i="1"/>
  <c r="I191" i="1" s="1"/>
  <c r="J191" i="1" s="1"/>
  <c r="K191" i="1" s="1"/>
  <c r="G148" i="1"/>
  <c r="I149" i="1" s="1"/>
  <c r="J149" i="1" s="1"/>
  <c r="K149" i="1" s="1"/>
  <c r="J65" i="8" l="1"/>
  <c r="K65" i="8" s="1"/>
  <c r="L65" i="8" s="1"/>
  <c r="F66" i="8"/>
  <c r="G65" i="8"/>
  <c r="H65" i="8" s="1"/>
  <c r="I65" i="8"/>
  <c r="I24" i="8"/>
  <c r="J25" i="8" s="1"/>
  <c r="K25" i="8" s="1"/>
  <c r="L25" i="8" s="1"/>
  <c r="F26" i="8"/>
  <c r="G25" i="8"/>
  <c r="I25" i="8" s="1"/>
  <c r="J107" i="5"/>
  <c r="E68" i="3"/>
  <c r="F67" i="3"/>
  <c r="H67" i="3" s="1"/>
  <c r="G66" i="3"/>
  <c r="I67" i="3" s="1"/>
  <c r="J67" i="3"/>
  <c r="K67" i="3" s="1"/>
  <c r="J107" i="4"/>
  <c r="F108" i="4"/>
  <c r="G107" i="4"/>
  <c r="H107" i="4" s="1"/>
  <c r="I107" i="4"/>
  <c r="J108" i="4" s="1"/>
  <c r="F148" i="4"/>
  <c r="G147" i="4"/>
  <c r="H147" i="4" s="1"/>
  <c r="I147" i="4"/>
  <c r="K146" i="4"/>
  <c r="L146" i="4" s="1"/>
  <c r="G108" i="5"/>
  <c r="F109" i="5"/>
  <c r="I187" i="5"/>
  <c r="J188" i="5"/>
  <c r="K188" i="5" s="1"/>
  <c r="L188" i="5" s="1"/>
  <c r="F189" i="5"/>
  <c r="G188" i="5"/>
  <c r="I188" i="5" s="1"/>
  <c r="J147" i="5"/>
  <c r="I147" i="5"/>
  <c r="F148" i="5"/>
  <c r="G147" i="5"/>
  <c r="H147" i="5" s="1"/>
  <c r="K106" i="5"/>
  <c r="L106" i="5" s="1"/>
  <c r="K145" i="5"/>
  <c r="L145" i="5" s="1"/>
  <c r="K107" i="4"/>
  <c r="L107" i="4" s="1"/>
  <c r="I67" i="4"/>
  <c r="J68" i="4" s="1"/>
  <c r="K68" i="4" s="1"/>
  <c r="G68" i="4"/>
  <c r="I68" i="4" s="1"/>
  <c r="F69" i="4"/>
  <c r="L66" i="4"/>
  <c r="I67" i="5"/>
  <c r="J68" i="5" s="1"/>
  <c r="K68" i="5" s="1"/>
  <c r="G68" i="5"/>
  <c r="I68" i="5" s="1"/>
  <c r="F69" i="5"/>
  <c r="L67" i="5"/>
  <c r="G25" i="1"/>
  <c r="I26" i="1" s="1"/>
  <c r="J26" i="1" s="1"/>
  <c r="K26" i="1" s="1"/>
  <c r="I27" i="5"/>
  <c r="J27" i="5"/>
  <c r="K27" i="5" s="1"/>
  <c r="L27" i="5" s="1"/>
  <c r="F27" i="3"/>
  <c r="H27" i="3" s="1"/>
  <c r="E28" i="3"/>
  <c r="H26" i="3"/>
  <c r="I27" i="3" s="1"/>
  <c r="J27" i="3" s="1"/>
  <c r="K27" i="3" s="1"/>
  <c r="G147" i="2"/>
  <c r="I148" i="2" s="1"/>
  <c r="G148" i="2"/>
  <c r="H148" i="2"/>
  <c r="E149" i="2"/>
  <c r="F148" i="2"/>
  <c r="J146" i="2"/>
  <c r="K146" i="2" s="1"/>
  <c r="F106" i="2"/>
  <c r="G106" i="2" s="1"/>
  <c r="E107" i="2"/>
  <c r="I106" i="2"/>
  <c r="J106" i="2" s="1"/>
  <c r="K106" i="2" s="1"/>
  <c r="G65" i="2"/>
  <c r="I25" i="2"/>
  <c r="J25" i="2" s="1"/>
  <c r="K25" i="2" s="1"/>
  <c r="E27" i="2"/>
  <c r="F26" i="2"/>
  <c r="E67" i="2"/>
  <c r="F66" i="2"/>
  <c r="H66" i="2" s="1"/>
  <c r="G25" i="2"/>
  <c r="H25" i="2"/>
  <c r="I65" i="2"/>
  <c r="J65" i="2" s="1"/>
  <c r="K65" i="2" s="1"/>
  <c r="G65" i="1"/>
  <c r="I66" i="1" s="1"/>
  <c r="J66" i="1" s="1"/>
  <c r="K66" i="1" s="1"/>
  <c r="E27" i="1"/>
  <c r="F26" i="1"/>
  <c r="H26" i="1" s="1"/>
  <c r="G26" i="1"/>
  <c r="H107" i="1"/>
  <c r="F66" i="1"/>
  <c r="G66" i="1" s="1"/>
  <c r="I65" i="1"/>
  <c r="J65" i="1" s="1"/>
  <c r="K65" i="1" s="1"/>
  <c r="E67" i="1"/>
  <c r="E109" i="1"/>
  <c r="F108" i="1"/>
  <c r="H108" i="1" s="1"/>
  <c r="I107" i="1"/>
  <c r="J107" i="1" s="1"/>
  <c r="K107" i="1" s="1"/>
  <c r="F150" i="1"/>
  <c r="H150" i="1" s="1"/>
  <c r="E151" i="1"/>
  <c r="E362" i="1"/>
  <c r="F361" i="1"/>
  <c r="H361" i="1" s="1"/>
  <c r="F192" i="1"/>
  <c r="H192" i="1" s="1"/>
  <c r="E193" i="1"/>
  <c r="F318" i="1"/>
  <c r="H318" i="1" s="1"/>
  <c r="E319" i="1"/>
  <c r="F277" i="1"/>
  <c r="H277" i="1" s="1"/>
  <c r="E278" i="1"/>
  <c r="F235" i="1"/>
  <c r="H235" i="1" s="1"/>
  <c r="E236" i="1"/>
  <c r="G359" i="1"/>
  <c r="I360" i="1" s="1"/>
  <c r="J360" i="1" s="1"/>
  <c r="K360" i="1" s="1"/>
  <c r="G317" i="1"/>
  <c r="I318" i="1" s="1"/>
  <c r="J318" i="1" s="1"/>
  <c r="K318" i="1" s="1"/>
  <c r="G275" i="1"/>
  <c r="I276" i="1" s="1"/>
  <c r="J276" i="1" s="1"/>
  <c r="K276" i="1" s="1"/>
  <c r="G233" i="1"/>
  <c r="I234" i="1" s="1"/>
  <c r="J234" i="1" s="1"/>
  <c r="K234" i="1" s="1"/>
  <c r="G191" i="1"/>
  <c r="I192" i="1" s="1"/>
  <c r="J192" i="1" s="1"/>
  <c r="K192" i="1" s="1"/>
  <c r="G149" i="1"/>
  <c r="I150" i="1" s="1"/>
  <c r="J150" i="1" s="1"/>
  <c r="K150" i="1" s="1"/>
  <c r="H25" i="8" l="1"/>
  <c r="J26" i="8" s="1"/>
  <c r="K26" i="8" s="1"/>
  <c r="L26" i="8" s="1"/>
  <c r="J66" i="8"/>
  <c r="K66" i="8" s="1"/>
  <c r="L66" i="8" s="1"/>
  <c r="F67" i="8"/>
  <c r="G66" i="8"/>
  <c r="I66" i="8" s="1"/>
  <c r="F27" i="8"/>
  <c r="G26" i="8"/>
  <c r="I26" i="8" s="1"/>
  <c r="G67" i="3"/>
  <c r="I68" i="3" s="1"/>
  <c r="G68" i="3"/>
  <c r="E69" i="3"/>
  <c r="H68" i="3"/>
  <c r="F68" i="3"/>
  <c r="J68" i="3"/>
  <c r="K68" i="3" s="1"/>
  <c r="H68" i="4"/>
  <c r="J148" i="4"/>
  <c r="F109" i="4"/>
  <c r="H108" i="4"/>
  <c r="G108" i="4"/>
  <c r="I108" i="4" s="1"/>
  <c r="I148" i="4"/>
  <c r="F149" i="4"/>
  <c r="G148" i="4"/>
  <c r="H148" i="4" s="1"/>
  <c r="J149" i="4" s="1"/>
  <c r="K147" i="4"/>
  <c r="L147" i="4" s="1"/>
  <c r="J148" i="5"/>
  <c r="G109" i="5"/>
  <c r="H109" i="5" s="1"/>
  <c r="F110" i="5"/>
  <c r="H108" i="5"/>
  <c r="I108" i="5"/>
  <c r="H188" i="5"/>
  <c r="J189" i="5" s="1"/>
  <c r="K189" i="5" s="1"/>
  <c r="L189" i="5" s="1"/>
  <c r="G189" i="5"/>
  <c r="H189" i="5" s="1"/>
  <c r="F190" i="5"/>
  <c r="F149" i="5"/>
  <c r="G148" i="5"/>
  <c r="I148" i="5" s="1"/>
  <c r="K107" i="5"/>
  <c r="L107" i="5" s="1"/>
  <c r="K146" i="5"/>
  <c r="L146" i="5" s="1"/>
  <c r="K108" i="4"/>
  <c r="L108" i="4" s="1"/>
  <c r="F70" i="4"/>
  <c r="G69" i="4"/>
  <c r="H69" i="4" s="1"/>
  <c r="J69" i="4"/>
  <c r="K69" i="4" s="1"/>
  <c r="L67" i="4"/>
  <c r="H68" i="5"/>
  <c r="J69" i="5" s="1"/>
  <c r="K69" i="5" s="1"/>
  <c r="F70" i="5"/>
  <c r="G69" i="5"/>
  <c r="H69" i="5" s="1"/>
  <c r="L68" i="5"/>
  <c r="H27" i="5"/>
  <c r="J28" i="5" s="1"/>
  <c r="K28" i="5" s="1"/>
  <c r="L28" i="5" s="1"/>
  <c r="I28" i="5"/>
  <c r="G27" i="3"/>
  <c r="I28" i="3" s="1"/>
  <c r="J28" i="3" s="1"/>
  <c r="K28" i="3" s="1"/>
  <c r="E29" i="3"/>
  <c r="F28" i="3"/>
  <c r="G28" i="3" s="1"/>
  <c r="F149" i="2"/>
  <c r="E150" i="2"/>
  <c r="G149" i="2"/>
  <c r="H149" i="2"/>
  <c r="I149" i="2"/>
  <c r="J147" i="2"/>
  <c r="K147" i="2" s="1"/>
  <c r="E108" i="2"/>
  <c r="G107" i="2"/>
  <c r="I108" i="2" s="1"/>
  <c r="F107" i="2"/>
  <c r="H107" i="2" s="1"/>
  <c r="I107" i="2"/>
  <c r="J107" i="2" s="1"/>
  <c r="K107" i="2" s="1"/>
  <c r="H106" i="2"/>
  <c r="I26" i="2"/>
  <c r="J26" i="2" s="1"/>
  <c r="K26" i="2" s="1"/>
  <c r="E68" i="2"/>
  <c r="F67" i="2"/>
  <c r="H67" i="2" s="1"/>
  <c r="G66" i="2"/>
  <c r="G26" i="2"/>
  <c r="H26" i="2"/>
  <c r="E28" i="2"/>
  <c r="F27" i="2"/>
  <c r="I66" i="2"/>
  <c r="J66" i="2" s="1"/>
  <c r="K66" i="2" s="1"/>
  <c r="E28" i="1"/>
  <c r="F27" i="1"/>
  <c r="H27" i="1" s="1"/>
  <c r="I27" i="1"/>
  <c r="J27" i="1" s="1"/>
  <c r="K27" i="1" s="1"/>
  <c r="H66" i="1"/>
  <c r="I67" i="1" s="1"/>
  <c r="J67" i="1" s="1"/>
  <c r="K67" i="1" s="1"/>
  <c r="G108" i="1"/>
  <c r="E68" i="1"/>
  <c r="E110" i="1"/>
  <c r="F109" i="1"/>
  <c r="H109" i="1" s="1"/>
  <c r="F67" i="1"/>
  <c r="I108" i="1"/>
  <c r="J108" i="1" s="1"/>
  <c r="K108" i="1" s="1"/>
  <c r="F319" i="1"/>
  <c r="H319" i="1" s="1"/>
  <c r="E320" i="1"/>
  <c r="F278" i="1"/>
  <c r="H278" i="1" s="1"/>
  <c r="E279" i="1"/>
  <c r="F151" i="1"/>
  <c r="H151" i="1" s="1"/>
  <c r="E152" i="1"/>
  <c r="F236" i="1"/>
  <c r="H236" i="1" s="1"/>
  <c r="E237" i="1"/>
  <c r="F193" i="1"/>
  <c r="H193" i="1" s="1"/>
  <c r="E194" i="1"/>
  <c r="E363" i="1"/>
  <c r="F362" i="1"/>
  <c r="H362" i="1" s="1"/>
  <c r="G360" i="1"/>
  <c r="I361" i="1" s="1"/>
  <c r="J361" i="1" s="1"/>
  <c r="K361" i="1" s="1"/>
  <c r="G318" i="1"/>
  <c r="I319" i="1" s="1"/>
  <c r="J319" i="1" s="1"/>
  <c r="K319" i="1" s="1"/>
  <c r="G276" i="1"/>
  <c r="I277" i="1" s="1"/>
  <c r="J277" i="1" s="1"/>
  <c r="K277" i="1" s="1"/>
  <c r="G234" i="1"/>
  <c r="I235" i="1" s="1"/>
  <c r="J235" i="1" s="1"/>
  <c r="K235" i="1" s="1"/>
  <c r="G192" i="1"/>
  <c r="I193" i="1" s="1"/>
  <c r="J193" i="1" s="1"/>
  <c r="K193" i="1" s="1"/>
  <c r="G150" i="1"/>
  <c r="I151" i="1" s="1"/>
  <c r="J151" i="1" s="1"/>
  <c r="K151" i="1" s="1"/>
  <c r="H66" i="8" l="1"/>
  <c r="J67" i="8" s="1"/>
  <c r="K67" i="8" s="1"/>
  <c r="L67" i="8" s="1"/>
  <c r="H26" i="8"/>
  <c r="J27" i="8" s="1"/>
  <c r="K27" i="8" s="1"/>
  <c r="L27" i="8" s="1"/>
  <c r="F68" i="8"/>
  <c r="G67" i="8"/>
  <c r="H67" i="8" s="1"/>
  <c r="G27" i="8"/>
  <c r="H27" i="8" s="1"/>
  <c r="F28" i="8"/>
  <c r="H148" i="5"/>
  <c r="J149" i="5" s="1"/>
  <c r="J109" i="5"/>
  <c r="F69" i="3"/>
  <c r="E70" i="3"/>
  <c r="G69" i="3"/>
  <c r="H69" i="3"/>
  <c r="I69" i="3"/>
  <c r="J69" i="3"/>
  <c r="K69" i="3" s="1"/>
  <c r="F110" i="4"/>
  <c r="G109" i="4"/>
  <c r="I109" i="4" s="1"/>
  <c r="J109" i="4"/>
  <c r="G149" i="4"/>
  <c r="H149" i="4" s="1"/>
  <c r="F150" i="4"/>
  <c r="K148" i="4"/>
  <c r="L148" i="4" s="1"/>
  <c r="G110" i="5"/>
  <c r="I110" i="5" s="1"/>
  <c r="F111" i="5"/>
  <c r="I109" i="5"/>
  <c r="J110" i="5" s="1"/>
  <c r="I189" i="5"/>
  <c r="G190" i="5"/>
  <c r="H190" i="5" s="1"/>
  <c r="F191" i="5"/>
  <c r="J190" i="5"/>
  <c r="K190" i="5" s="1"/>
  <c r="L190" i="5" s="1"/>
  <c r="G149" i="5"/>
  <c r="I149" i="5" s="1"/>
  <c r="F150" i="5"/>
  <c r="K108" i="5"/>
  <c r="L108" i="5" s="1"/>
  <c r="K147" i="5"/>
  <c r="L147" i="5" s="1"/>
  <c r="K109" i="4"/>
  <c r="L109" i="4" s="1"/>
  <c r="I69" i="4"/>
  <c r="J70" i="4" s="1"/>
  <c r="K70" i="4" s="1"/>
  <c r="G70" i="4"/>
  <c r="H70" i="4" s="1"/>
  <c r="F71" i="4"/>
  <c r="L68" i="4"/>
  <c r="I69" i="5"/>
  <c r="J70" i="5" s="1"/>
  <c r="K70" i="5" s="1"/>
  <c r="F71" i="5"/>
  <c r="G70" i="5"/>
  <c r="H70" i="5" s="1"/>
  <c r="L69" i="5"/>
  <c r="G27" i="1"/>
  <c r="H28" i="5"/>
  <c r="J29" i="5" s="1"/>
  <c r="K29" i="5" s="1"/>
  <c r="L29" i="5" s="1"/>
  <c r="H29" i="5"/>
  <c r="H28" i="3"/>
  <c r="I29" i="3" s="1"/>
  <c r="J29" i="3" s="1"/>
  <c r="K29" i="3" s="1"/>
  <c r="F29" i="3"/>
  <c r="H29" i="3" s="1"/>
  <c r="E30" i="3"/>
  <c r="I150" i="2"/>
  <c r="F150" i="2"/>
  <c r="H150" i="2" s="1"/>
  <c r="E151" i="2"/>
  <c r="G150" i="2"/>
  <c r="J148" i="2"/>
  <c r="K148" i="2" s="1"/>
  <c r="E109" i="2"/>
  <c r="F108" i="2"/>
  <c r="G108" i="2" s="1"/>
  <c r="H108" i="2"/>
  <c r="I109" i="2" s="1"/>
  <c r="I27" i="2"/>
  <c r="J27" i="2" s="1"/>
  <c r="K27" i="2" s="1"/>
  <c r="E69" i="2"/>
  <c r="F68" i="2"/>
  <c r="G68" i="2" s="1"/>
  <c r="H27" i="2"/>
  <c r="G27" i="2"/>
  <c r="G67" i="2"/>
  <c r="E29" i="2"/>
  <c r="F28" i="2"/>
  <c r="I67" i="2"/>
  <c r="J67" i="2" s="1"/>
  <c r="K67" i="2" s="1"/>
  <c r="J108" i="2"/>
  <c r="K108" i="2" s="1"/>
  <c r="E29" i="1"/>
  <c r="F28" i="1"/>
  <c r="H28" i="1" s="1"/>
  <c r="I28" i="1"/>
  <c r="J28" i="1" s="1"/>
  <c r="K28" i="1" s="1"/>
  <c r="F68" i="1"/>
  <c r="H68" i="1" s="1"/>
  <c r="F110" i="1"/>
  <c r="G110" i="1" s="1"/>
  <c r="G67" i="1"/>
  <c r="H67" i="1"/>
  <c r="E111" i="1"/>
  <c r="G109" i="1"/>
  <c r="E69" i="1"/>
  <c r="I109" i="1"/>
  <c r="J109" i="1" s="1"/>
  <c r="K109" i="1" s="1"/>
  <c r="F194" i="1"/>
  <c r="H194" i="1" s="1"/>
  <c r="E195" i="1"/>
  <c r="E321" i="1"/>
  <c r="F320" i="1"/>
  <c r="H320" i="1" s="1"/>
  <c r="F237" i="1"/>
  <c r="H237" i="1" s="1"/>
  <c r="E238" i="1"/>
  <c r="F279" i="1"/>
  <c r="H279" i="1" s="1"/>
  <c r="E280" i="1"/>
  <c r="F363" i="1"/>
  <c r="H363" i="1" s="1"/>
  <c r="E364" i="1"/>
  <c r="E153" i="1"/>
  <c r="F152" i="1"/>
  <c r="H152" i="1" s="1"/>
  <c r="G361" i="1"/>
  <c r="I362" i="1" s="1"/>
  <c r="J362" i="1" s="1"/>
  <c r="K362" i="1" s="1"/>
  <c r="G319" i="1"/>
  <c r="I320" i="1" s="1"/>
  <c r="J320" i="1" s="1"/>
  <c r="K320" i="1" s="1"/>
  <c r="G277" i="1"/>
  <c r="I278" i="1" s="1"/>
  <c r="J278" i="1" s="1"/>
  <c r="K278" i="1" s="1"/>
  <c r="G235" i="1"/>
  <c r="I236" i="1" s="1"/>
  <c r="J236" i="1" s="1"/>
  <c r="K236" i="1" s="1"/>
  <c r="G193" i="1"/>
  <c r="I194" i="1" s="1"/>
  <c r="J194" i="1" s="1"/>
  <c r="K194" i="1" s="1"/>
  <c r="G151" i="1"/>
  <c r="I152" i="1" s="1"/>
  <c r="J152" i="1" s="1"/>
  <c r="K152" i="1" s="1"/>
  <c r="I27" i="8" l="1"/>
  <c r="J28" i="8" s="1"/>
  <c r="K28" i="8" s="1"/>
  <c r="L28" i="8" s="1"/>
  <c r="I67" i="8"/>
  <c r="J68" i="8" s="1"/>
  <c r="K68" i="8" s="1"/>
  <c r="L68" i="8" s="1"/>
  <c r="F69" i="8"/>
  <c r="G68" i="8"/>
  <c r="I68" i="8" s="1"/>
  <c r="G28" i="8"/>
  <c r="I28" i="8" s="1"/>
  <c r="F29" i="8"/>
  <c r="I70" i="3"/>
  <c r="F70" i="3"/>
  <c r="H70" i="3" s="1"/>
  <c r="E71" i="3"/>
  <c r="J70" i="3"/>
  <c r="K70" i="3" s="1"/>
  <c r="I149" i="4"/>
  <c r="J150" i="4" s="1"/>
  <c r="H109" i="4"/>
  <c r="J110" i="4" s="1"/>
  <c r="K110" i="4" s="1"/>
  <c r="L110" i="4" s="1"/>
  <c r="G150" i="4"/>
  <c r="H150" i="4" s="1"/>
  <c r="F151" i="4"/>
  <c r="G110" i="4"/>
  <c r="I110" i="4" s="1"/>
  <c r="F111" i="4"/>
  <c r="K149" i="4"/>
  <c r="L149" i="4" s="1"/>
  <c r="I190" i="5"/>
  <c r="G111" i="5"/>
  <c r="I111" i="5" s="1"/>
  <c r="F112" i="5"/>
  <c r="H111" i="5"/>
  <c r="J112" i="5" s="1"/>
  <c r="H110" i="5"/>
  <c r="J111" i="5" s="1"/>
  <c r="J191" i="5"/>
  <c r="K191" i="5" s="1"/>
  <c r="L191" i="5" s="1"/>
  <c r="F192" i="5"/>
  <c r="G191" i="5"/>
  <c r="H191" i="5" s="1"/>
  <c r="H149" i="5"/>
  <c r="J150" i="5" s="1"/>
  <c r="G150" i="5"/>
  <c r="I150" i="5" s="1"/>
  <c r="F151" i="5"/>
  <c r="K109" i="5"/>
  <c r="L109" i="5" s="1"/>
  <c r="K148" i="5"/>
  <c r="L148" i="5" s="1"/>
  <c r="I70" i="4"/>
  <c r="J71" i="4" s="1"/>
  <c r="K71" i="4" s="1"/>
  <c r="F72" i="4"/>
  <c r="G71" i="4"/>
  <c r="H71" i="4" s="1"/>
  <c r="L69" i="4"/>
  <c r="I70" i="5"/>
  <c r="J71" i="5" s="1"/>
  <c r="K71" i="5" s="1"/>
  <c r="F72" i="5"/>
  <c r="G71" i="5"/>
  <c r="H71" i="5" s="1"/>
  <c r="L70" i="5"/>
  <c r="G28" i="1"/>
  <c r="I29" i="1" s="1"/>
  <c r="J29" i="1" s="1"/>
  <c r="K29" i="1" s="1"/>
  <c r="I29" i="5"/>
  <c r="J30" i="5" s="1"/>
  <c r="K30" i="5" s="1"/>
  <c r="L30" i="5" s="1"/>
  <c r="I30" i="5"/>
  <c r="G29" i="3"/>
  <c r="I30" i="3" s="1"/>
  <c r="J30" i="3" s="1"/>
  <c r="K30" i="3" s="1"/>
  <c r="F30" i="3"/>
  <c r="H30" i="3" s="1"/>
  <c r="E31" i="3"/>
  <c r="I151" i="2"/>
  <c r="F151" i="2"/>
  <c r="H151" i="2" s="1"/>
  <c r="E152" i="2"/>
  <c r="J149" i="2"/>
  <c r="K149" i="2" s="1"/>
  <c r="E110" i="2"/>
  <c r="F109" i="2"/>
  <c r="G109" i="2" s="1"/>
  <c r="H68" i="2"/>
  <c r="I28" i="2"/>
  <c r="J28" i="2" s="1"/>
  <c r="K28" i="2" s="1"/>
  <c r="G28" i="2"/>
  <c r="H28" i="2"/>
  <c r="J109" i="2"/>
  <c r="K109" i="2" s="1"/>
  <c r="E30" i="2"/>
  <c r="F29" i="2"/>
  <c r="E70" i="2"/>
  <c r="F69" i="2"/>
  <c r="H69" i="2" s="1"/>
  <c r="I68" i="2"/>
  <c r="J68" i="2" s="1"/>
  <c r="K68" i="2" s="1"/>
  <c r="G68" i="1"/>
  <c r="E30" i="1"/>
  <c r="F29" i="1"/>
  <c r="G29" i="1" s="1"/>
  <c r="H29" i="1"/>
  <c r="H110" i="1"/>
  <c r="I69" i="1"/>
  <c r="J69" i="1" s="1"/>
  <c r="K69" i="1" s="1"/>
  <c r="F111" i="1"/>
  <c r="H111" i="1" s="1"/>
  <c r="I68" i="1"/>
  <c r="J68" i="1" s="1"/>
  <c r="K68" i="1" s="1"/>
  <c r="E70" i="1"/>
  <c r="E112" i="1"/>
  <c r="F69" i="1"/>
  <c r="I110" i="1"/>
  <c r="J110" i="1" s="1"/>
  <c r="K110" i="1" s="1"/>
  <c r="F280" i="1"/>
  <c r="H280" i="1" s="1"/>
  <c r="E281" i="1"/>
  <c r="E365" i="1"/>
  <c r="F364" i="1"/>
  <c r="H364" i="1" s="1"/>
  <c r="F195" i="1"/>
  <c r="H195" i="1" s="1"/>
  <c r="E196" i="1"/>
  <c r="F321" i="1"/>
  <c r="H321" i="1" s="1"/>
  <c r="E322" i="1"/>
  <c r="F153" i="1"/>
  <c r="H153" i="1" s="1"/>
  <c r="E154" i="1"/>
  <c r="E239" i="1"/>
  <c r="F238" i="1"/>
  <c r="H238" i="1" s="1"/>
  <c r="G362" i="1"/>
  <c r="I363" i="1" s="1"/>
  <c r="J363" i="1" s="1"/>
  <c r="K363" i="1" s="1"/>
  <c r="G320" i="1"/>
  <c r="I321" i="1" s="1"/>
  <c r="J321" i="1" s="1"/>
  <c r="K321" i="1" s="1"/>
  <c r="G278" i="1"/>
  <c r="I279" i="1" s="1"/>
  <c r="J279" i="1" s="1"/>
  <c r="K279" i="1" s="1"/>
  <c r="G236" i="1"/>
  <c r="I237" i="1" s="1"/>
  <c r="J237" i="1" s="1"/>
  <c r="K237" i="1" s="1"/>
  <c r="G194" i="1"/>
  <c r="I195" i="1" s="1"/>
  <c r="J195" i="1" s="1"/>
  <c r="K195" i="1" s="1"/>
  <c r="G152" i="1"/>
  <c r="I153" i="1" s="1"/>
  <c r="J153" i="1" s="1"/>
  <c r="K153" i="1" s="1"/>
  <c r="H28" i="8" l="1"/>
  <c r="J29" i="8" s="1"/>
  <c r="K29" i="8" s="1"/>
  <c r="L29" i="8" s="1"/>
  <c r="F70" i="8"/>
  <c r="G69" i="8"/>
  <c r="I69" i="8"/>
  <c r="H69" i="8"/>
  <c r="H68" i="8"/>
  <c r="J69" i="8" s="1"/>
  <c r="K69" i="8" s="1"/>
  <c r="L69" i="8" s="1"/>
  <c r="F30" i="8"/>
  <c r="G29" i="8"/>
  <c r="I29" i="8" s="1"/>
  <c r="E72" i="3"/>
  <c r="F71" i="3"/>
  <c r="H71" i="3" s="1"/>
  <c r="G70" i="3"/>
  <c r="I71" i="3" s="1"/>
  <c r="J71" i="3"/>
  <c r="K71" i="3" s="1"/>
  <c r="G151" i="4"/>
  <c r="I151" i="4" s="1"/>
  <c r="F152" i="4"/>
  <c r="H110" i="4"/>
  <c r="J111" i="4" s="1"/>
  <c r="I150" i="4"/>
  <c r="J151" i="4" s="1"/>
  <c r="H111" i="4"/>
  <c r="J112" i="4" s="1"/>
  <c r="F112" i="4"/>
  <c r="G111" i="4"/>
  <c r="I111" i="4" s="1"/>
  <c r="K150" i="4"/>
  <c r="L150" i="4" s="1"/>
  <c r="F113" i="5"/>
  <c r="G112" i="5"/>
  <c r="H112" i="5" s="1"/>
  <c r="F193" i="5"/>
  <c r="G192" i="5"/>
  <c r="H192" i="5" s="1"/>
  <c r="I191" i="5"/>
  <c r="J192" i="5" s="1"/>
  <c r="K192" i="5" s="1"/>
  <c r="L192" i="5" s="1"/>
  <c r="H150" i="5"/>
  <c r="J151" i="5" s="1"/>
  <c r="I151" i="5"/>
  <c r="G151" i="5"/>
  <c r="H151" i="5" s="1"/>
  <c r="F152" i="5"/>
  <c r="K149" i="5"/>
  <c r="L149" i="5" s="1"/>
  <c r="K110" i="5"/>
  <c r="L110" i="5" s="1"/>
  <c r="K111" i="4"/>
  <c r="L111" i="4" s="1"/>
  <c r="I71" i="4"/>
  <c r="J72" i="4" s="1"/>
  <c r="K72" i="4" s="1"/>
  <c r="G72" i="4"/>
  <c r="I72" i="4" s="1"/>
  <c r="F73" i="4"/>
  <c r="L70" i="4"/>
  <c r="I71" i="5"/>
  <c r="J72" i="5" s="1"/>
  <c r="K72" i="5" s="1"/>
  <c r="F73" i="5"/>
  <c r="G72" i="5"/>
  <c r="H72" i="5" s="1"/>
  <c r="L71" i="5"/>
  <c r="H30" i="5"/>
  <c r="J31" i="5" s="1"/>
  <c r="K31" i="5" s="1"/>
  <c r="L31" i="5" s="1"/>
  <c r="I31" i="5"/>
  <c r="E32" i="3"/>
  <c r="F31" i="3"/>
  <c r="H31" i="3" s="1"/>
  <c r="G30" i="3"/>
  <c r="I31" i="3" s="1"/>
  <c r="J31" i="3" s="1"/>
  <c r="K31" i="3" s="1"/>
  <c r="G151" i="2"/>
  <c r="I152" i="2" s="1"/>
  <c r="G152" i="2"/>
  <c r="E153" i="2"/>
  <c r="H152" i="2"/>
  <c r="F152" i="2"/>
  <c r="J150" i="2"/>
  <c r="K150" i="2" s="1"/>
  <c r="H109" i="2"/>
  <c r="I110" i="2" s="1"/>
  <c r="J110" i="2" s="1"/>
  <c r="K110" i="2" s="1"/>
  <c r="E111" i="2"/>
  <c r="F110" i="2"/>
  <c r="G110" i="2" s="1"/>
  <c r="I29" i="2"/>
  <c r="J29" i="2" s="1"/>
  <c r="K29" i="2" s="1"/>
  <c r="E71" i="2"/>
  <c r="F70" i="2"/>
  <c r="G70" i="2" s="1"/>
  <c r="G69" i="2"/>
  <c r="G29" i="2"/>
  <c r="I30" i="2" s="1"/>
  <c r="J30" i="2" s="1"/>
  <c r="K30" i="2" s="1"/>
  <c r="H29" i="2"/>
  <c r="E31" i="2"/>
  <c r="F30" i="2"/>
  <c r="I69" i="2"/>
  <c r="J69" i="2" s="1"/>
  <c r="K69" i="2" s="1"/>
  <c r="G111" i="1"/>
  <c r="E31" i="1"/>
  <c r="F30" i="1"/>
  <c r="G30" i="1" s="1"/>
  <c r="I30" i="1"/>
  <c r="J30" i="1" s="1"/>
  <c r="K30" i="1" s="1"/>
  <c r="F70" i="1"/>
  <c r="G70" i="1" s="1"/>
  <c r="G69" i="1"/>
  <c r="E71" i="1"/>
  <c r="E113" i="1"/>
  <c r="F112" i="1"/>
  <c r="H69" i="1"/>
  <c r="I111" i="1"/>
  <c r="J111" i="1" s="1"/>
  <c r="K111" i="1" s="1"/>
  <c r="F239" i="1"/>
  <c r="H239" i="1" s="1"/>
  <c r="E240" i="1"/>
  <c r="F154" i="1"/>
  <c r="H154" i="1" s="1"/>
  <c r="E155" i="1"/>
  <c r="F281" i="1"/>
  <c r="H281" i="1" s="1"/>
  <c r="E282" i="1"/>
  <c r="F322" i="1"/>
  <c r="H322" i="1" s="1"/>
  <c r="E323" i="1"/>
  <c r="F196" i="1"/>
  <c r="H196" i="1" s="1"/>
  <c r="E197" i="1"/>
  <c r="E366" i="1"/>
  <c r="F365" i="1"/>
  <c r="H365" i="1" s="1"/>
  <c r="G363" i="1"/>
  <c r="I364" i="1" s="1"/>
  <c r="J364" i="1" s="1"/>
  <c r="K364" i="1" s="1"/>
  <c r="G321" i="1"/>
  <c r="I322" i="1" s="1"/>
  <c r="J322" i="1" s="1"/>
  <c r="K322" i="1" s="1"/>
  <c r="G279" i="1"/>
  <c r="I280" i="1" s="1"/>
  <c r="J280" i="1" s="1"/>
  <c r="K280" i="1" s="1"/>
  <c r="G237" i="1"/>
  <c r="I238" i="1" s="1"/>
  <c r="J238" i="1" s="1"/>
  <c r="K238" i="1" s="1"/>
  <c r="G195" i="1"/>
  <c r="I196" i="1" s="1"/>
  <c r="J196" i="1" s="1"/>
  <c r="K196" i="1" s="1"/>
  <c r="G153" i="1"/>
  <c r="I154" i="1" s="1"/>
  <c r="J154" i="1" s="1"/>
  <c r="K154" i="1" s="1"/>
  <c r="H29" i="8" l="1"/>
  <c r="J30" i="8" s="1"/>
  <c r="K30" i="8" s="1"/>
  <c r="L30" i="8" s="1"/>
  <c r="J70" i="8"/>
  <c r="K70" i="8" s="1"/>
  <c r="L70" i="8" s="1"/>
  <c r="F71" i="8"/>
  <c r="G70" i="8"/>
  <c r="H70" i="8" s="1"/>
  <c r="F31" i="8"/>
  <c r="G30" i="8"/>
  <c r="I30" i="8" s="1"/>
  <c r="G71" i="3"/>
  <c r="I72" i="3" s="1"/>
  <c r="E73" i="3"/>
  <c r="F72" i="3"/>
  <c r="G72" i="3" s="1"/>
  <c r="J72" i="3"/>
  <c r="K72" i="3" s="1"/>
  <c r="F113" i="4"/>
  <c r="G112" i="4"/>
  <c r="H112" i="4" s="1"/>
  <c r="G152" i="4"/>
  <c r="H152" i="4" s="1"/>
  <c r="F153" i="4"/>
  <c r="H151" i="4"/>
  <c r="J152" i="4" s="1"/>
  <c r="K151" i="4"/>
  <c r="L151" i="4" s="1"/>
  <c r="F114" i="5"/>
  <c r="H113" i="5"/>
  <c r="G113" i="5"/>
  <c r="I113" i="5" s="1"/>
  <c r="I112" i="5"/>
  <c r="J113" i="5" s="1"/>
  <c r="G193" i="5"/>
  <c r="H193" i="5" s="1"/>
  <c r="F194" i="5"/>
  <c r="I192" i="5"/>
  <c r="J193" i="5" s="1"/>
  <c r="K193" i="5" s="1"/>
  <c r="L193" i="5" s="1"/>
  <c r="J152" i="5"/>
  <c r="G152" i="5"/>
  <c r="I152" i="5" s="1"/>
  <c r="F153" i="5"/>
  <c r="K151" i="5"/>
  <c r="L151" i="5" s="1"/>
  <c r="K150" i="5"/>
  <c r="L150" i="5" s="1"/>
  <c r="K111" i="5"/>
  <c r="L111" i="5" s="1"/>
  <c r="K112" i="4"/>
  <c r="L112" i="4" s="1"/>
  <c r="F74" i="4"/>
  <c r="G73" i="4"/>
  <c r="H73" i="4" s="1"/>
  <c r="H72" i="4"/>
  <c r="J73" i="4" s="1"/>
  <c r="K73" i="4" s="1"/>
  <c r="L71" i="4"/>
  <c r="F74" i="5"/>
  <c r="G73" i="5"/>
  <c r="H73" i="5" s="1"/>
  <c r="I72" i="5"/>
  <c r="J73" i="5" s="1"/>
  <c r="K73" i="5" s="1"/>
  <c r="L72" i="5"/>
  <c r="H30" i="1"/>
  <c r="I31" i="1" s="1"/>
  <c r="J31" i="1" s="1"/>
  <c r="K31" i="1" s="1"/>
  <c r="F71" i="1"/>
  <c r="H31" i="5"/>
  <c r="J32" i="5" s="1"/>
  <c r="K32" i="5" s="1"/>
  <c r="L32" i="5" s="1"/>
  <c r="I32" i="5"/>
  <c r="E33" i="3"/>
  <c r="F32" i="3"/>
  <c r="G32" i="3" s="1"/>
  <c r="G31" i="3"/>
  <c r="I32" i="3" s="1"/>
  <c r="J32" i="3" s="1"/>
  <c r="K32" i="3" s="1"/>
  <c r="F153" i="2"/>
  <c r="E154" i="2"/>
  <c r="G153" i="2"/>
  <c r="H153" i="2"/>
  <c r="I153" i="2"/>
  <c r="J151" i="2"/>
  <c r="K151" i="2" s="1"/>
  <c r="F111" i="2"/>
  <c r="H111" i="2" s="1"/>
  <c r="E112" i="2"/>
  <c r="G111" i="2"/>
  <c r="I112" i="2" s="1"/>
  <c r="H110" i="2"/>
  <c r="I111" i="2" s="1"/>
  <c r="J111" i="2" s="1"/>
  <c r="K111" i="2" s="1"/>
  <c r="H70" i="2"/>
  <c r="E32" i="2"/>
  <c r="F31" i="2"/>
  <c r="G31" i="2" s="1"/>
  <c r="H31" i="2"/>
  <c r="E72" i="2"/>
  <c r="F71" i="2"/>
  <c r="H71" i="2" s="1"/>
  <c r="G71" i="2"/>
  <c r="H30" i="2"/>
  <c r="G30" i="2"/>
  <c r="I70" i="2"/>
  <c r="J70" i="2" s="1"/>
  <c r="K70" i="2" s="1"/>
  <c r="H70" i="1"/>
  <c r="I71" i="1" s="1"/>
  <c r="J71" i="1" s="1"/>
  <c r="K71" i="1" s="1"/>
  <c r="E32" i="1"/>
  <c r="F31" i="1"/>
  <c r="G31" i="1" s="1"/>
  <c r="I70" i="1"/>
  <c r="J70" i="1" s="1"/>
  <c r="K70" i="1" s="1"/>
  <c r="F113" i="1"/>
  <c r="G113" i="1" s="1"/>
  <c r="G112" i="1"/>
  <c r="H112" i="1"/>
  <c r="E72" i="1"/>
  <c r="F72" i="1" s="1"/>
  <c r="G71" i="1"/>
  <c r="H71" i="1"/>
  <c r="E114" i="1"/>
  <c r="I112" i="1"/>
  <c r="J112" i="1" s="1"/>
  <c r="K112" i="1" s="1"/>
  <c r="F197" i="1"/>
  <c r="H197" i="1" s="1"/>
  <c r="E198" i="1"/>
  <c r="F240" i="1"/>
  <c r="H240" i="1" s="1"/>
  <c r="E241" i="1"/>
  <c r="F155" i="1"/>
  <c r="H155" i="1" s="1"/>
  <c r="E156" i="1"/>
  <c r="F323" i="1"/>
  <c r="H323" i="1" s="1"/>
  <c r="E324" i="1"/>
  <c r="E367" i="1"/>
  <c r="F366" i="1"/>
  <c r="H366" i="1" s="1"/>
  <c r="F282" i="1"/>
  <c r="H282" i="1" s="1"/>
  <c r="E283" i="1"/>
  <c r="G364" i="1"/>
  <c r="I365" i="1" s="1"/>
  <c r="J365" i="1" s="1"/>
  <c r="K365" i="1" s="1"/>
  <c r="G322" i="1"/>
  <c r="I323" i="1" s="1"/>
  <c r="J323" i="1" s="1"/>
  <c r="K323" i="1" s="1"/>
  <c r="G280" i="1"/>
  <c r="I281" i="1" s="1"/>
  <c r="J281" i="1" s="1"/>
  <c r="K281" i="1" s="1"/>
  <c r="G238" i="1"/>
  <c r="I239" i="1" s="1"/>
  <c r="J239" i="1" s="1"/>
  <c r="K239" i="1" s="1"/>
  <c r="G196" i="1"/>
  <c r="I197" i="1" s="1"/>
  <c r="J197" i="1" s="1"/>
  <c r="K197" i="1" s="1"/>
  <c r="G154" i="1"/>
  <c r="I155" i="1" s="1"/>
  <c r="J155" i="1" s="1"/>
  <c r="K155" i="1" s="1"/>
  <c r="I70" i="8" l="1"/>
  <c r="J71" i="8" s="1"/>
  <c r="K71" i="8" s="1"/>
  <c r="L71" i="8" s="1"/>
  <c r="H30" i="8"/>
  <c r="J31" i="8" s="1"/>
  <c r="K31" i="8" s="1"/>
  <c r="L31" i="8" s="1"/>
  <c r="F72" i="8"/>
  <c r="G71" i="8"/>
  <c r="H71" i="8" s="1"/>
  <c r="G31" i="8"/>
  <c r="I31" i="8" s="1"/>
  <c r="F32" i="8"/>
  <c r="H152" i="5"/>
  <c r="J153" i="5" s="1"/>
  <c r="I193" i="5"/>
  <c r="H72" i="3"/>
  <c r="I73" i="3"/>
  <c r="F73" i="3"/>
  <c r="G73" i="3" s="1"/>
  <c r="E74" i="3"/>
  <c r="J73" i="3"/>
  <c r="K73" i="3" s="1"/>
  <c r="I152" i="4"/>
  <c r="J153" i="4" s="1"/>
  <c r="I112" i="4"/>
  <c r="J113" i="4" s="1"/>
  <c r="K113" i="4" s="1"/>
  <c r="L113" i="4" s="1"/>
  <c r="I153" i="4"/>
  <c r="F154" i="4"/>
  <c r="G153" i="4"/>
  <c r="H153" i="4" s="1"/>
  <c r="G113" i="4"/>
  <c r="I113" i="4" s="1"/>
  <c r="H113" i="4"/>
  <c r="F114" i="4"/>
  <c r="K152" i="4"/>
  <c r="L152" i="4" s="1"/>
  <c r="G114" i="5"/>
  <c r="H114" i="5" s="1"/>
  <c r="F115" i="5"/>
  <c r="J114" i="5"/>
  <c r="J194" i="5"/>
  <c r="K194" i="5" s="1"/>
  <c r="L194" i="5" s="1"/>
  <c r="G194" i="5"/>
  <c r="H194" i="5" s="1"/>
  <c r="I194" i="5"/>
  <c r="F195" i="5"/>
  <c r="G153" i="5"/>
  <c r="H153" i="5" s="1"/>
  <c r="F154" i="5"/>
  <c r="K112" i="5"/>
  <c r="L112" i="5" s="1"/>
  <c r="I73" i="4"/>
  <c r="J74" i="4" s="1"/>
  <c r="K74" i="4" s="1"/>
  <c r="G74" i="4"/>
  <c r="I74" i="4" s="1"/>
  <c r="H74" i="4"/>
  <c r="F75" i="4"/>
  <c r="L72" i="4"/>
  <c r="I73" i="5"/>
  <c r="J74" i="5" s="1"/>
  <c r="K74" i="5" s="1"/>
  <c r="F75" i="5"/>
  <c r="G74" i="5"/>
  <c r="H74" i="5" s="1"/>
  <c r="L73" i="5"/>
  <c r="H31" i="1"/>
  <c r="H32" i="5"/>
  <c r="J33" i="5" s="1"/>
  <c r="K33" i="5" s="1"/>
  <c r="L33" i="5" s="1"/>
  <c r="I33" i="5"/>
  <c r="H33" i="5"/>
  <c r="H32" i="3"/>
  <c r="I33" i="3" s="1"/>
  <c r="J33" i="3" s="1"/>
  <c r="K33" i="3" s="1"/>
  <c r="F33" i="3"/>
  <c r="G33" i="3" s="1"/>
  <c r="E34" i="3"/>
  <c r="I154" i="2"/>
  <c r="F154" i="2"/>
  <c r="H154" i="2" s="1"/>
  <c r="E155" i="2"/>
  <c r="G154" i="2"/>
  <c r="J152" i="2"/>
  <c r="K152" i="2" s="1"/>
  <c r="E113" i="2"/>
  <c r="F112" i="2"/>
  <c r="G112" i="2" s="1"/>
  <c r="I31" i="2"/>
  <c r="J31" i="2" s="1"/>
  <c r="K31" i="2" s="1"/>
  <c r="E73" i="2"/>
  <c r="F72" i="2"/>
  <c r="G72" i="2" s="1"/>
  <c r="J112" i="2"/>
  <c r="K112" i="2" s="1"/>
  <c r="E33" i="2"/>
  <c r="F32" i="2"/>
  <c r="I71" i="2"/>
  <c r="J71" i="2" s="1"/>
  <c r="K71" i="2" s="1"/>
  <c r="I32" i="2"/>
  <c r="J32" i="2" s="1"/>
  <c r="K32" i="2" s="1"/>
  <c r="E33" i="1"/>
  <c r="F32" i="1"/>
  <c r="H32" i="1" s="1"/>
  <c r="I32" i="1"/>
  <c r="J32" i="1" s="1"/>
  <c r="K32" i="1" s="1"/>
  <c r="H113" i="1"/>
  <c r="I72" i="1"/>
  <c r="J72" i="1" s="1"/>
  <c r="K72" i="1" s="1"/>
  <c r="E115" i="1"/>
  <c r="F114" i="1"/>
  <c r="E73" i="1"/>
  <c r="H72" i="1"/>
  <c r="G72" i="1"/>
  <c r="I113" i="1"/>
  <c r="J113" i="1" s="1"/>
  <c r="K113" i="1" s="1"/>
  <c r="F198" i="1"/>
  <c r="H198" i="1" s="1"/>
  <c r="E199" i="1"/>
  <c r="F283" i="1"/>
  <c r="H283" i="1" s="1"/>
  <c r="E284" i="1"/>
  <c r="F367" i="1"/>
  <c r="H367" i="1" s="1"/>
  <c r="E368" i="1"/>
  <c r="F241" i="1"/>
  <c r="H241" i="1" s="1"/>
  <c r="E242" i="1"/>
  <c r="F324" i="1"/>
  <c r="H324" i="1" s="1"/>
  <c r="E325" i="1"/>
  <c r="E157" i="1"/>
  <c r="F156" i="1"/>
  <c r="H156" i="1" s="1"/>
  <c r="G365" i="1"/>
  <c r="I366" i="1" s="1"/>
  <c r="J366" i="1" s="1"/>
  <c r="K366" i="1" s="1"/>
  <c r="G323" i="1"/>
  <c r="I324" i="1" s="1"/>
  <c r="J324" i="1" s="1"/>
  <c r="K324" i="1" s="1"/>
  <c r="G281" i="1"/>
  <c r="I282" i="1" s="1"/>
  <c r="J282" i="1" s="1"/>
  <c r="K282" i="1" s="1"/>
  <c r="G239" i="1"/>
  <c r="I240" i="1" s="1"/>
  <c r="J240" i="1" s="1"/>
  <c r="K240" i="1" s="1"/>
  <c r="G197" i="1"/>
  <c r="I198" i="1" s="1"/>
  <c r="J198" i="1" s="1"/>
  <c r="K198" i="1" s="1"/>
  <c r="G155" i="1"/>
  <c r="I156" i="1" s="1"/>
  <c r="J156" i="1" s="1"/>
  <c r="K156" i="1" s="1"/>
  <c r="H31" i="8" l="1"/>
  <c r="J32" i="8" s="1"/>
  <c r="K32" i="8" s="1"/>
  <c r="L32" i="8" s="1"/>
  <c r="F73" i="8"/>
  <c r="G72" i="8"/>
  <c r="H72" i="8"/>
  <c r="J73" i="8" s="1"/>
  <c r="K73" i="8" s="1"/>
  <c r="L73" i="8" s="1"/>
  <c r="I72" i="8"/>
  <c r="I71" i="8"/>
  <c r="J72" i="8" s="1"/>
  <c r="K72" i="8" s="1"/>
  <c r="L72" i="8" s="1"/>
  <c r="G32" i="8"/>
  <c r="H32" i="8" s="1"/>
  <c r="I32" i="8"/>
  <c r="F33" i="8"/>
  <c r="I114" i="5"/>
  <c r="J115" i="5" s="1"/>
  <c r="H73" i="3"/>
  <c r="I74" i="3" s="1"/>
  <c r="J74" i="3" s="1"/>
  <c r="K74" i="3" s="1"/>
  <c r="F74" i="3"/>
  <c r="G74" i="3" s="1"/>
  <c r="E75" i="3"/>
  <c r="J154" i="4"/>
  <c r="J114" i="4"/>
  <c r="H114" i="4"/>
  <c r="I114" i="4"/>
  <c r="G114" i="4"/>
  <c r="F115" i="4"/>
  <c r="H154" i="4"/>
  <c r="J155" i="4" s="1"/>
  <c r="F155" i="4"/>
  <c r="G154" i="4"/>
  <c r="I154" i="4"/>
  <c r="K153" i="4"/>
  <c r="L153" i="4" s="1"/>
  <c r="G115" i="5"/>
  <c r="F116" i="5"/>
  <c r="J195" i="5"/>
  <c r="K195" i="5" s="1"/>
  <c r="L195" i="5" s="1"/>
  <c r="F196" i="5"/>
  <c r="G195" i="5"/>
  <c r="H195" i="5" s="1"/>
  <c r="G154" i="5"/>
  <c r="I154" i="5" s="1"/>
  <c r="F155" i="5"/>
  <c r="I153" i="5"/>
  <c r="J154" i="5" s="1"/>
  <c r="K113" i="5"/>
  <c r="L113" i="5" s="1"/>
  <c r="K152" i="5"/>
  <c r="L152" i="5" s="1"/>
  <c r="K114" i="4"/>
  <c r="L114" i="4" s="1"/>
  <c r="J75" i="4"/>
  <c r="K75" i="4" s="1"/>
  <c r="F76" i="4"/>
  <c r="G75" i="4"/>
  <c r="I75" i="4" s="1"/>
  <c r="L73" i="4"/>
  <c r="I74" i="5"/>
  <c r="J75" i="5" s="1"/>
  <c r="K75" i="5" s="1"/>
  <c r="F76" i="5"/>
  <c r="G75" i="5"/>
  <c r="H75" i="5" s="1"/>
  <c r="L74" i="5"/>
  <c r="J34" i="5"/>
  <c r="K34" i="5" s="1"/>
  <c r="L34" i="5" s="1"/>
  <c r="I34" i="5"/>
  <c r="H34" i="5"/>
  <c r="H33" i="3"/>
  <c r="I34" i="3" s="1"/>
  <c r="J34" i="3" s="1"/>
  <c r="K34" i="3" s="1"/>
  <c r="F34" i="3"/>
  <c r="G34" i="3" s="1"/>
  <c r="E35" i="3"/>
  <c r="I155" i="2"/>
  <c r="F155" i="2"/>
  <c r="H155" i="2" s="1"/>
  <c r="E156" i="2"/>
  <c r="J153" i="2"/>
  <c r="K153" i="2" s="1"/>
  <c r="H112" i="2"/>
  <c r="I113" i="2" s="1"/>
  <c r="F113" i="2"/>
  <c r="G113" i="2" s="1"/>
  <c r="E114" i="2"/>
  <c r="H113" i="2"/>
  <c r="H72" i="2"/>
  <c r="E34" i="2"/>
  <c r="F33" i="2"/>
  <c r="G33" i="2" s="1"/>
  <c r="E74" i="2"/>
  <c r="F73" i="2"/>
  <c r="G73" i="2" s="1"/>
  <c r="J113" i="2"/>
  <c r="K113" i="2" s="1"/>
  <c r="H32" i="2"/>
  <c r="G32" i="2"/>
  <c r="I33" i="2" s="1"/>
  <c r="J33" i="2" s="1"/>
  <c r="K33" i="2" s="1"/>
  <c r="I72" i="2"/>
  <c r="J72" i="2" s="1"/>
  <c r="K72" i="2" s="1"/>
  <c r="G32" i="1"/>
  <c r="I33" i="1" s="1"/>
  <c r="J33" i="1" s="1"/>
  <c r="K33" i="1" s="1"/>
  <c r="F115" i="1"/>
  <c r="G115" i="1" s="1"/>
  <c r="E34" i="1"/>
  <c r="F33" i="1"/>
  <c r="H33" i="1" s="1"/>
  <c r="I73" i="1"/>
  <c r="J73" i="1" s="1"/>
  <c r="K73" i="1" s="1"/>
  <c r="G114" i="1"/>
  <c r="E74" i="1"/>
  <c r="H114" i="1"/>
  <c r="F73" i="1"/>
  <c r="G73" i="1" s="1"/>
  <c r="E116" i="1"/>
  <c r="E243" i="1"/>
  <c r="F242" i="1"/>
  <c r="H242" i="1" s="1"/>
  <c r="E369" i="1"/>
  <c r="F368" i="1"/>
  <c r="H368" i="1" s="1"/>
  <c r="F199" i="1"/>
  <c r="H199" i="1" s="1"/>
  <c r="E200" i="1"/>
  <c r="I114" i="1"/>
  <c r="J114" i="1" s="1"/>
  <c r="K114" i="1" s="1"/>
  <c r="F325" i="1"/>
  <c r="H325" i="1" s="1"/>
  <c r="E326" i="1"/>
  <c r="F284" i="1"/>
  <c r="H284" i="1" s="1"/>
  <c r="E285" i="1"/>
  <c r="E158" i="1"/>
  <c r="F157" i="1"/>
  <c r="H157" i="1" s="1"/>
  <c r="G366" i="1"/>
  <c r="I367" i="1" s="1"/>
  <c r="J367" i="1" s="1"/>
  <c r="K367" i="1" s="1"/>
  <c r="G324" i="1"/>
  <c r="I325" i="1" s="1"/>
  <c r="J325" i="1" s="1"/>
  <c r="K325" i="1" s="1"/>
  <c r="G282" i="1"/>
  <c r="I283" i="1" s="1"/>
  <c r="J283" i="1" s="1"/>
  <c r="K283" i="1" s="1"/>
  <c r="G240" i="1"/>
  <c r="I241" i="1" s="1"/>
  <c r="J241" i="1" s="1"/>
  <c r="K241" i="1" s="1"/>
  <c r="G198" i="1"/>
  <c r="I199" i="1" s="1"/>
  <c r="J199" i="1" s="1"/>
  <c r="K199" i="1" s="1"/>
  <c r="G156" i="1"/>
  <c r="I157" i="1" s="1"/>
  <c r="J157" i="1" s="1"/>
  <c r="K157" i="1" s="1"/>
  <c r="J33" i="8" l="1"/>
  <c r="K33" i="8" s="1"/>
  <c r="L33" i="8" s="1"/>
  <c r="F74" i="8"/>
  <c r="G73" i="8"/>
  <c r="H73" i="8" s="1"/>
  <c r="I73" i="8"/>
  <c r="F34" i="8"/>
  <c r="G33" i="8"/>
  <c r="I33" i="8" s="1"/>
  <c r="H74" i="3"/>
  <c r="E76" i="3"/>
  <c r="F75" i="3"/>
  <c r="H75" i="3" s="1"/>
  <c r="G75" i="3"/>
  <c r="I75" i="3"/>
  <c r="J75" i="3" s="1"/>
  <c r="K75" i="3" s="1"/>
  <c r="F156" i="4"/>
  <c r="G155" i="4"/>
  <c r="I155" i="4"/>
  <c r="H155" i="4"/>
  <c r="J156" i="4" s="1"/>
  <c r="J115" i="4"/>
  <c r="F116" i="4"/>
  <c r="G115" i="4"/>
  <c r="I115" i="4" s="1"/>
  <c r="H115" i="4"/>
  <c r="J116" i="4" s="1"/>
  <c r="K154" i="4"/>
  <c r="L154" i="4" s="1"/>
  <c r="F117" i="5"/>
  <c r="G116" i="5"/>
  <c r="H116" i="5" s="1"/>
  <c r="H115" i="5"/>
  <c r="I115" i="5"/>
  <c r="J116" i="5" s="1"/>
  <c r="I195" i="5"/>
  <c r="J196" i="5"/>
  <c r="K196" i="5" s="1"/>
  <c r="L196" i="5" s="1"/>
  <c r="F197" i="5"/>
  <c r="G196" i="5"/>
  <c r="I196" i="5" s="1"/>
  <c r="H154" i="5"/>
  <c r="J155" i="5" s="1"/>
  <c r="F156" i="5"/>
  <c r="G155" i="5"/>
  <c r="H155" i="5" s="1"/>
  <c r="K153" i="5"/>
  <c r="L153" i="5" s="1"/>
  <c r="K114" i="5"/>
  <c r="L114" i="5" s="1"/>
  <c r="K115" i="4"/>
  <c r="L115" i="4" s="1"/>
  <c r="G76" i="4"/>
  <c r="H76" i="4" s="1"/>
  <c r="F77" i="4"/>
  <c r="I76" i="4"/>
  <c r="H75" i="4"/>
  <c r="J76" i="4" s="1"/>
  <c r="K76" i="4" s="1"/>
  <c r="L74" i="4"/>
  <c r="I75" i="5"/>
  <c r="J76" i="5" s="1"/>
  <c r="K76" i="5" s="1"/>
  <c r="F77" i="5"/>
  <c r="G76" i="5"/>
  <c r="H76" i="5" s="1"/>
  <c r="L75" i="5"/>
  <c r="H115" i="1"/>
  <c r="I35" i="5"/>
  <c r="J35" i="5"/>
  <c r="K35" i="5" s="1"/>
  <c r="L35" i="5" s="1"/>
  <c r="H34" i="3"/>
  <c r="I35" i="3" s="1"/>
  <c r="J35" i="3" s="1"/>
  <c r="K35" i="3" s="1"/>
  <c r="F35" i="3"/>
  <c r="H35" i="3" s="1"/>
  <c r="E36" i="3"/>
  <c r="G155" i="2"/>
  <c r="I156" i="2" s="1"/>
  <c r="G156" i="2"/>
  <c r="H156" i="2"/>
  <c r="E157" i="2"/>
  <c r="F156" i="2"/>
  <c r="J154" i="2"/>
  <c r="K154" i="2" s="1"/>
  <c r="E115" i="2"/>
  <c r="F114" i="2"/>
  <c r="G114" i="2" s="1"/>
  <c r="I114" i="2"/>
  <c r="H73" i="2"/>
  <c r="H33" i="2"/>
  <c r="J114" i="2"/>
  <c r="K114" i="2" s="1"/>
  <c r="E75" i="2"/>
  <c r="F74" i="2"/>
  <c r="G74" i="2" s="1"/>
  <c r="E35" i="2"/>
  <c r="F34" i="2"/>
  <c r="I73" i="2"/>
  <c r="J73" i="2" s="1"/>
  <c r="K73" i="2" s="1"/>
  <c r="I34" i="2"/>
  <c r="J34" i="2" s="1"/>
  <c r="K34" i="2" s="1"/>
  <c r="G33" i="1"/>
  <c r="I34" i="1" s="1"/>
  <c r="J34" i="1" s="1"/>
  <c r="K34" i="1" s="1"/>
  <c r="E35" i="1"/>
  <c r="F34" i="1"/>
  <c r="G34" i="1" s="1"/>
  <c r="F74" i="1"/>
  <c r="G74" i="1" s="1"/>
  <c r="E117" i="1"/>
  <c r="E75" i="1"/>
  <c r="F116" i="1"/>
  <c r="H73" i="1"/>
  <c r="I74" i="1" s="1"/>
  <c r="J74" i="1" s="1"/>
  <c r="K74" i="1" s="1"/>
  <c r="I115" i="1"/>
  <c r="J115" i="1" s="1"/>
  <c r="K115" i="1" s="1"/>
  <c r="F285" i="1"/>
  <c r="H285" i="1" s="1"/>
  <c r="E286" i="1"/>
  <c r="F158" i="1"/>
  <c r="H158" i="1" s="1"/>
  <c r="E159" i="1"/>
  <c r="F326" i="1"/>
  <c r="H326" i="1" s="1"/>
  <c r="E327" i="1"/>
  <c r="F200" i="1"/>
  <c r="H200" i="1" s="1"/>
  <c r="E201" i="1"/>
  <c r="E370" i="1"/>
  <c r="F369" i="1"/>
  <c r="H369" i="1" s="1"/>
  <c r="F243" i="1"/>
  <c r="H243" i="1" s="1"/>
  <c r="E244" i="1"/>
  <c r="G367" i="1"/>
  <c r="I368" i="1" s="1"/>
  <c r="J368" i="1" s="1"/>
  <c r="K368" i="1" s="1"/>
  <c r="G325" i="1"/>
  <c r="I326" i="1" s="1"/>
  <c r="J326" i="1" s="1"/>
  <c r="K326" i="1" s="1"/>
  <c r="G283" i="1"/>
  <c r="I284" i="1" s="1"/>
  <c r="J284" i="1" s="1"/>
  <c r="K284" i="1" s="1"/>
  <c r="G241" i="1"/>
  <c r="I242" i="1" s="1"/>
  <c r="J242" i="1" s="1"/>
  <c r="K242" i="1" s="1"/>
  <c r="G199" i="1"/>
  <c r="I200" i="1" s="1"/>
  <c r="J200" i="1" s="1"/>
  <c r="K200" i="1" s="1"/>
  <c r="G157" i="1"/>
  <c r="I158" i="1" s="1"/>
  <c r="J158" i="1" s="1"/>
  <c r="K158" i="1" s="1"/>
  <c r="H33" i="8" l="1"/>
  <c r="J34" i="8" s="1"/>
  <c r="K34" i="8" s="1"/>
  <c r="L34" i="8" s="1"/>
  <c r="J74" i="8"/>
  <c r="K74" i="8" s="1"/>
  <c r="L74" i="8" s="1"/>
  <c r="F75" i="8"/>
  <c r="G74" i="8"/>
  <c r="I74" i="8" s="1"/>
  <c r="H74" i="8"/>
  <c r="F35" i="8"/>
  <c r="G34" i="8"/>
  <c r="H34" i="8" s="1"/>
  <c r="I116" i="5"/>
  <c r="I76" i="3"/>
  <c r="F76" i="3"/>
  <c r="H76" i="3" s="1"/>
  <c r="E77" i="3"/>
  <c r="J76" i="3"/>
  <c r="K76" i="3" s="1"/>
  <c r="J77" i="4"/>
  <c r="K77" i="4" s="1"/>
  <c r="F117" i="4"/>
  <c r="G116" i="4"/>
  <c r="H116" i="4" s="1"/>
  <c r="G156" i="4"/>
  <c r="I156" i="4" s="1"/>
  <c r="H156" i="4"/>
  <c r="J157" i="4" s="1"/>
  <c r="F157" i="4"/>
  <c r="K155" i="4"/>
  <c r="L155" i="4" s="1"/>
  <c r="I155" i="5"/>
  <c r="J117" i="5"/>
  <c r="J156" i="5"/>
  <c r="G117" i="5"/>
  <c r="H117" i="5" s="1"/>
  <c r="F118" i="5"/>
  <c r="H196" i="5"/>
  <c r="J197" i="5" s="1"/>
  <c r="K197" i="5" s="1"/>
  <c r="L197" i="5" s="1"/>
  <c r="G197" i="5"/>
  <c r="H197" i="5" s="1"/>
  <c r="F198" i="5"/>
  <c r="F157" i="5"/>
  <c r="G156" i="5"/>
  <c r="H156" i="5" s="1"/>
  <c r="K115" i="5"/>
  <c r="L115" i="5" s="1"/>
  <c r="K154" i="5"/>
  <c r="L154" i="5" s="1"/>
  <c r="K116" i="4"/>
  <c r="L116" i="4" s="1"/>
  <c r="F78" i="4"/>
  <c r="G77" i="4"/>
  <c r="H77" i="4" s="1"/>
  <c r="I77" i="4"/>
  <c r="L75" i="4"/>
  <c r="F78" i="5"/>
  <c r="G77" i="5"/>
  <c r="H77" i="5" s="1"/>
  <c r="I76" i="5"/>
  <c r="J77" i="5" s="1"/>
  <c r="K77" i="5" s="1"/>
  <c r="L76" i="5"/>
  <c r="H35" i="5"/>
  <c r="J36" i="5" s="1"/>
  <c r="K36" i="5" s="1"/>
  <c r="L36" i="5" s="1"/>
  <c r="H36" i="5"/>
  <c r="I36" i="5"/>
  <c r="G35" i="3"/>
  <c r="I36" i="3" s="1"/>
  <c r="J36" i="3" s="1"/>
  <c r="K36" i="3" s="1"/>
  <c r="E37" i="3"/>
  <c r="F36" i="3"/>
  <c r="G36" i="3" s="1"/>
  <c r="F157" i="2"/>
  <c r="E158" i="2"/>
  <c r="G157" i="2"/>
  <c r="H157" i="2"/>
  <c r="I157" i="2"/>
  <c r="J155" i="2"/>
  <c r="K155" i="2" s="1"/>
  <c r="H74" i="2"/>
  <c r="H114" i="2"/>
  <c r="I115" i="2" s="1"/>
  <c r="J115" i="2" s="1"/>
  <c r="K115" i="2" s="1"/>
  <c r="E116" i="2"/>
  <c r="F115" i="2"/>
  <c r="G115" i="2" s="1"/>
  <c r="H115" i="2"/>
  <c r="E76" i="2"/>
  <c r="F75" i="2"/>
  <c r="H75" i="2" s="1"/>
  <c r="E36" i="2"/>
  <c r="F35" i="2"/>
  <c r="H35" i="2" s="1"/>
  <c r="H34" i="2"/>
  <c r="G34" i="2"/>
  <c r="I74" i="2"/>
  <c r="J74" i="2" s="1"/>
  <c r="K74" i="2" s="1"/>
  <c r="H34" i="1"/>
  <c r="I35" i="1" s="1"/>
  <c r="J35" i="1" s="1"/>
  <c r="K35" i="1" s="1"/>
  <c r="H74" i="1"/>
  <c r="I75" i="1" s="1"/>
  <c r="J75" i="1" s="1"/>
  <c r="K75" i="1" s="1"/>
  <c r="E36" i="1"/>
  <c r="F35" i="1"/>
  <c r="G35" i="1" s="1"/>
  <c r="F117" i="1"/>
  <c r="G117" i="1" s="1"/>
  <c r="G116" i="1"/>
  <c r="H116" i="1"/>
  <c r="E76" i="1"/>
  <c r="E118" i="1"/>
  <c r="H117" i="1"/>
  <c r="F75" i="1"/>
  <c r="H75" i="1" s="1"/>
  <c r="I116" i="1"/>
  <c r="J116" i="1" s="1"/>
  <c r="K116" i="1" s="1"/>
  <c r="F201" i="1"/>
  <c r="H201" i="1" s="1"/>
  <c r="E202" i="1"/>
  <c r="E371" i="1"/>
  <c r="F370" i="1"/>
  <c r="H370" i="1" s="1"/>
  <c r="F286" i="1"/>
  <c r="H286" i="1" s="1"/>
  <c r="E287" i="1"/>
  <c r="F244" i="1"/>
  <c r="H244" i="1" s="1"/>
  <c r="E245" i="1"/>
  <c r="F159" i="1"/>
  <c r="H159" i="1" s="1"/>
  <c r="E160" i="1"/>
  <c r="F327" i="1"/>
  <c r="H327" i="1" s="1"/>
  <c r="E328" i="1"/>
  <c r="G368" i="1"/>
  <c r="I369" i="1" s="1"/>
  <c r="J369" i="1" s="1"/>
  <c r="K369" i="1" s="1"/>
  <c r="G326" i="1"/>
  <c r="I327" i="1" s="1"/>
  <c r="J327" i="1" s="1"/>
  <c r="K327" i="1" s="1"/>
  <c r="G284" i="1"/>
  <c r="I285" i="1" s="1"/>
  <c r="J285" i="1" s="1"/>
  <c r="K285" i="1" s="1"/>
  <c r="G242" i="1"/>
  <c r="I243" i="1" s="1"/>
  <c r="J243" i="1" s="1"/>
  <c r="K243" i="1" s="1"/>
  <c r="G200" i="1"/>
  <c r="I201" i="1" s="1"/>
  <c r="J201" i="1" s="1"/>
  <c r="K201" i="1" s="1"/>
  <c r="G158" i="1"/>
  <c r="I159" i="1" s="1"/>
  <c r="J159" i="1" s="1"/>
  <c r="K159" i="1" s="1"/>
  <c r="J75" i="8" l="1"/>
  <c r="K75" i="8" s="1"/>
  <c r="L75" i="8" s="1"/>
  <c r="F76" i="8"/>
  <c r="G75" i="8"/>
  <c r="I75" i="8"/>
  <c r="H75" i="8"/>
  <c r="I34" i="8"/>
  <c r="J35" i="8" s="1"/>
  <c r="K35" i="8" s="1"/>
  <c r="L35" i="8" s="1"/>
  <c r="G35" i="8"/>
  <c r="H35" i="8" s="1"/>
  <c r="F36" i="8"/>
  <c r="I197" i="5"/>
  <c r="J198" i="5" s="1"/>
  <c r="K198" i="5" s="1"/>
  <c r="L198" i="5" s="1"/>
  <c r="G76" i="3"/>
  <c r="F77" i="3"/>
  <c r="G77" i="3" s="1"/>
  <c r="E78" i="3"/>
  <c r="H77" i="3"/>
  <c r="I77" i="3"/>
  <c r="J77" i="3" s="1"/>
  <c r="K77" i="3" s="1"/>
  <c r="F158" i="4"/>
  <c r="G157" i="4"/>
  <c r="H157" i="4" s="1"/>
  <c r="I157" i="4"/>
  <c r="J158" i="4" s="1"/>
  <c r="I116" i="4"/>
  <c r="J117" i="4" s="1"/>
  <c r="K117" i="4" s="1"/>
  <c r="L117" i="4" s="1"/>
  <c r="G117" i="4"/>
  <c r="I117" i="4" s="1"/>
  <c r="F118" i="4"/>
  <c r="H117" i="4"/>
  <c r="K156" i="4"/>
  <c r="L156" i="4" s="1"/>
  <c r="I117" i="5"/>
  <c r="J118" i="5" s="1"/>
  <c r="F119" i="5"/>
  <c r="G118" i="5"/>
  <c r="G198" i="5"/>
  <c r="H198" i="5" s="1"/>
  <c r="F199" i="5"/>
  <c r="G157" i="5"/>
  <c r="H157" i="5" s="1"/>
  <c r="F158" i="5"/>
  <c r="I156" i="5"/>
  <c r="J157" i="5" s="1"/>
  <c r="K155" i="5"/>
  <c r="L155" i="5" s="1"/>
  <c r="K116" i="5"/>
  <c r="L116" i="5" s="1"/>
  <c r="J78" i="4"/>
  <c r="K78" i="4" s="1"/>
  <c r="G78" i="4"/>
  <c r="H78" i="4" s="1"/>
  <c r="F79" i="4"/>
  <c r="L76" i="4"/>
  <c r="I77" i="5"/>
  <c r="J78" i="5" s="1"/>
  <c r="K78" i="5" s="1"/>
  <c r="F79" i="5"/>
  <c r="G78" i="5"/>
  <c r="I78" i="5" s="1"/>
  <c r="L77" i="5"/>
  <c r="J37" i="5"/>
  <c r="K37" i="5" s="1"/>
  <c r="L37" i="5" s="1"/>
  <c r="I37" i="5"/>
  <c r="H36" i="3"/>
  <c r="I37" i="3" s="1"/>
  <c r="J37" i="3" s="1"/>
  <c r="K37" i="3" s="1"/>
  <c r="F37" i="3"/>
  <c r="G37" i="3" s="1"/>
  <c r="E38" i="3"/>
  <c r="I158" i="2"/>
  <c r="F158" i="2"/>
  <c r="H158" i="2"/>
  <c r="G158" i="2"/>
  <c r="J156" i="2"/>
  <c r="K156" i="2" s="1"/>
  <c r="E117" i="2"/>
  <c r="F116" i="2"/>
  <c r="G116" i="2" s="1"/>
  <c r="I117" i="2" s="1"/>
  <c r="H116" i="2"/>
  <c r="I116" i="2"/>
  <c r="J116" i="2" s="1"/>
  <c r="K116" i="2" s="1"/>
  <c r="I35" i="2"/>
  <c r="J35" i="2" s="1"/>
  <c r="K35" i="2" s="1"/>
  <c r="G75" i="2"/>
  <c r="G35" i="2"/>
  <c r="I36" i="2" s="1"/>
  <c r="J36" i="2" s="1"/>
  <c r="K36" i="2" s="1"/>
  <c r="E77" i="2"/>
  <c r="F76" i="2"/>
  <c r="H76" i="2" s="1"/>
  <c r="E37" i="2"/>
  <c r="F36" i="2"/>
  <c r="G36" i="2" s="1"/>
  <c r="I75" i="2"/>
  <c r="J75" i="2" s="1"/>
  <c r="K75" i="2" s="1"/>
  <c r="H35" i="1"/>
  <c r="F118" i="1"/>
  <c r="G118" i="1" s="1"/>
  <c r="E37" i="1"/>
  <c r="F36" i="1"/>
  <c r="H36" i="1" s="1"/>
  <c r="I36" i="1"/>
  <c r="J36" i="1" s="1"/>
  <c r="K36" i="1" s="1"/>
  <c r="F76" i="1"/>
  <c r="H76" i="1" s="1"/>
  <c r="G75" i="1"/>
  <c r="I76" i="1" s="1"/>
  <c r="J76" i="1" s="1"/>
  <c r="K76" i="1" s="1"/>
  <c r="E77" i="1"/>
  <c r="E119" i="1"/>
  <c r="I117" i="1"/>
  <c r="J117" i="1" s="1"/>
  <c r="K117" i="1" s="1"/>
  <c r="F245" i="1"/>
  <c r="H245" i="1" s="1"/>
  <c r="E246" i="1"/>
  <c r="F202" i="1"/>
  <c r="H202" i="1" s="1"/>
  <c r="E203" i="1"/>
  <c r="F328" i="1"/>
  <c r="H328" i="1" s="1"/>
  <c r="E329" i="1"/>
  <c r="F160" i="1"/>
  <c r="H160" i="1" s="1"/>
  <c r="E161" i="1"/>
  <c r="E288" i="1"/>
  <c r="F287" i="1"/>
  <c r="H287" i="1" s="1"/>
  <c r="F371" i="1"/>
  <c r="H371" i="1" s="1"/>
  <c r="E372" i="1"/>
  <c r="G369" i="1"/>
  <c r="I370" i="1" s="1"/>
  <c r="J370" i="1" s="1"/>
  <c r="K370" i="1" s="1"/>
  <c r="G327" i="1"/>
  <c r="I328" i="1" s="1"/>
  <c r="J328" i="1" s="1"/>
  <c r="K328" i="1" s="1"/>
  <c r="G285" i="1"/>
  <c r="I286" i="1" s="1"/>
  <c r="J286" i="1" s="1"/>
  <c r="K286" i="1" s="1"/>
  <c r="G243" i="1"/>
  <c r="I244" i="1" s="1"/>
  <c r="J244" i="1" s="1"/>
  <c r="K244" i="1" s="1"/>
  <c r="G201" i="1"/>
  <c r="I202" i="1" s="1"/>
  <c r="J202" i="1" s="1"/>
  <c r="K202" i="1" s="1"/>
  <c r="G159" i="1"/>
  <c r="I160" i="1" s="1"/>
  <c r="J160" i="1" s="1"/>
  <c r="K160" i="1" s="1"/>
  <c r="J76" i="8" l="1"/>
  <c r="K76" i="8" s="1"/>
  <c r="L76" i="8" s="1"/>
  <c r="F77" i="8"/>
  <c r="G76" i="8"/>
  <c r="I76" i="8" s="1"/>
  <c r="H76" i="8"/>
  <c r="I35" i="8"/>
  <c r="J36" i="8" s="1"/>
  <c r="K36" i="8" s="1"/>
  <c r="L36" i="8" s="1"/>
  <c r="G36" i="8"/>
  <c r="H36" i="8" s="1"/>
  <c r="F37" i="8"/>
  <c r="I78" i="3"/>
  <c r="F78" i="3"/>
  <c r="G78" i="3" s="1"/>
  <c r="E79" i="3"/>
  <c r="H78" i="3"/>
  <c r="J78" i="3"/>
  <c r="K78" i="3" s="1"/>
  <c r="J118" i="4"/>
  <c r="K118" i="4" s="1"/>
  <c r="L118" i="4" s="1"/>
  <c r="F119" i="4"/>
  <c r="G118" i="4"/>
  <c r="H118" i="4" s="1"/>
  <c r="F159" i="4"/>
  <c r="G158" i="4"/>
  <c r="H158" i="4" s="1"/>
  <c r="I158" i="4"/>
  <c r="K157" i="4"/>
  <c r="L157" i="4" s="1"/>
  <c r="G119" i="5"/>
  <c r="I118" i="5"/>
  <c r="H118" i="5"/>
  <c r="J119" i="5" s="1"/>
  <c r="I198" i="5"/>
  <c r="J199" i="5" s="1"/>
  <c r="K199" i="5" s="1"/>
  <c r="L199" i="5" s="1"/>
  <c r="G199" i="5"/>
  <c r="H199" i="5" s="1"/>
  <c r="I157" i="5"/>
  <c r="J158" i="5" s="1"/>
  <c r="G158" i="5"/>
  <c r="H158" i="5" s="1"/>
  <c r="F159" i="5"/>
  <c r="K156" i="5"/>
  <c r="L156" i="5" s="1"/>
  <c r="K117" i="5"/>
  <c r="L117" i="5" s="1"/>
  <c r="K157" i="5"/>
  <c r="L157" i="5" s="1"/>
  <c r="I78" i="4"/>
  <c r="J79" i="4" s="1"/>
  <c r="K79" i="4" s="1"/>
  <c r="G79" i="4"/>
  <c r="H79" i="4" s="1"/>
  <c r="L77" i="4"/>
  <c r="H78" i="5"/>
  <c r="J79" i="5" s="1"/>
  <c r="K79" i="5" s="1"/>
  <c r="G79" i="5"/>
  <c r="H79" i="5" s="1"/>
  <c r="L78" i="5"/>
  <c r="F119" i="1"/>
  <c r="G119" i="1" s="1"/>
  <c r="H118" i="1"/>
  <c r="H37" i="5"/>
  <c r="J38" i="5" s="1"/>
  <c r="K38" i="5" s="1"/>
  <c r="L38" i="5" s="1"/>
  <c r="H38" i="5"/>
  <c r="E39" i="3"/>
  <c r="F38" i="3"/>
  <c r="H38" i="3" s="1"/>
  <c r="H37" i="3"/>
  <c r="I38" i="3" s="1"/>
  <c r="J38" i="3" s="1"/>
  <c r="K38" i="3" s="1"/>
  <c r="J157" i="2"/>
  <c r="K157" i="2" s="1"/>
  <c r="F117" i="2"/>
  <c r="G117" i="2" s="1"/>
  <c r="E118" i="2"/>
  <c r="H117" i="2"/>
  <c r="I118" i="2" s="1"/>
  <c r="H36" i="2"/>
  <c r="I37" i="2" s="1"/>
  <c r="J37" i="2" s="1"/>
  <c r="K37" i="2" s="1"/>
  <c r="J117" i="2"/>
  <c r="K117" i="2" s="1"/>
  <c r="G76" i="2"/>
  <c r="E38" i="2"/>
  <c r="F37" i="2"/>
  <c r="G37" i="2" s="1"/>
  <c r="E78" i="2"/>
  <c r="F77" i="2"/>
  <c r="H77" i="2" s="1"/>
  <c r="I76" i="2"/>
  <c r="J76" i="2" s="1"/>
  <c r="K76" i="2" s="1"/>
  <c r="G36" i="1"/>
  <c r="I37" i="1" s="1"/>
  <c r="J37" i="1" s="1"/>
  <c r="K37" i="1" s="1"/>
  <c r="E38" i="1"/>
  <c r="F37" i="1"/>
  <c r="G37" i="1" s="1"/>
  <c r="G76" i="1"/>
  <c r="I77" i="1" s="1"/>
  <c r="J77" i="1" s="1"/>
  <c r="K77" i="1" s="1"/>
  <c r="F77" i="1"/>
  <c r="G77" i="1" s="1"/>
  <c r="E120" i="1"/>
  <c r="H119" i="1"/>
  <c r="E78" i="1"/>
  <c r="F161" i="1"/>
  <c r="H161" i="1" s="1"/>
  <c r="E162" i="1"/>
  <c r="E247" i="1"/>
  <c r="F246" i="1"/>
  <c r="H246" i="1" s="1"/>
  <c r="I118" i="1"/>
  <c r="J118" i="1" s="1"/>
  <c r="K118" i="1" s="1"/>
  <c r="F203" i="1"/>
  <c r="H203" i="1" s="1"/>
  <c r="E204" i="1"/>
  <c r="E373" i="1"/>
  <c r="F372" i="1"/>
  <c r="H372" i="1" s="1"/>
  <c r="F288" i="1"/>
  <c r="H288" i="1" s="1"/>
  <c r="E289" i="1"/>
  <c r="F329" i="1"/>
  <c r="H329" i="1" s="1"/>
  <c r="E330" i="1"/>
  <c r="G370" i="1"/>
  <c r="I371" i="1" s="1"/>
  <c r="J371" i="1" s="1"/>
  <c r="K371" i="1" s="1"/>
  <c r="G328" i="1"/>
  <c r="I329" i="1" s="1"/>
  <c r="J329" i="1" s="1"/>
  <c r="K329" i="1" s="1"/>
  <c r="G286" i="1"/>
  <c r="I287" i="1" s="1"/>
  <c r="J287" i="1" s="1"/>
  <c r="K287" i="1" s="1"/>
  <c r="G244" i="1"/>
  <c r="I245" i="1" s="1"/>
  <c r="J245" i="1" s="1"/>
  <c r="K245" i="1" s="1"/>
  <c r="G202" i="1"/>
  <c r="I203" i="1" s="1"/>
  <c r="J203" i="1" s="1"/>
  <c r="K203" i="1" s="1"/>
  <c r="G160" i="1"/>
  <c r="I161" i="1" s="1"/>
  <c r="J161" i="1" s="1"/>
  <c r="K161" i="1" s="1"/>
  <c r="J77" i="8" l="1"/>
  <c r="K77" i="8" s="1"/>
  <c r="L77" i="8" s="1"/>
  <c r="F78" i="8"/>
  <c r="G77" i="8"/>
  <c r="H77" i="8"/>
  <c r="I77" i="8"/>
  <c r="I36" i="8"/>
  <c r="J37" i="8" s="1"/>
  <c r="K37" i="8" s="1"/>
  <c r="L37" i="8" s="1"/>
  <c r="F38" i="8"/>
  <c r="G37" i="8"/>
  <c r="I37" i="8" s="1"/>
  <c r="I79" i="3"/>
  <c r="F79" i="3"/>
  <c r="H79" i="3" s="1"/>
  <c r="J79" i="3"/>
  <c r="K79" i="3" s="1"/>
  <c r="K80" i="3" s="1"/>
  <c r="G159" i="4"/>
  <c r="H159" i="4" s="1"/>
  <c r="I118" i="4"/>
  <c r="J119" i="4" s="1"/>
  <c r="K119" i="4" s="1"/>
  <c r="L119" i="4" s="1"/>
  <c r="L120" i="4" s="1"/>
  <c r="J159" i="4"/>
  <c r="G119" i="4"/>
  <c r="H119" i="4" s="1"/>
  <c r="K158" i="4"/>
  <c r="L158" i="4" s="1"/>
  <c r="I119" i="5"/>
  <c r="H119" i="5"/>
  <c r="I199" i="5"/>
  <c r="G159" i="5"/>
  <c r="I159" i="5" s="1"/>
  <c r="I158" i="5"/>
  <c r="J159" i="5" s="1"/>
  <c r="K118" i="5"/>
  <c r="L118" i="5" s="1"/>
  <c r="I79" i="4"/>
  <c r="L78" i="4"/>
  <c r="F5" i="4"/>
  <c r="F6" i="4" s="1"/>
  <c r="I79" i="5"/>
  <c r="L79" i="5"/>
  <c r="L80" i="5" s="1"/>
  <c r="I38" i="5"/>
  <c r="J39" i="5" s="1"/>
  <c r="K39" i="5" s="1"/>
  <c r="L39" i="5" s="1"/>
  <c r="L40" i="5" s="1"/>
  <c r="H39" i="5"/>
  <c r="G38" i="3"/>
  <c r="I39" i="3" s="1"/>
  <c r="J39" i="3" s="1"/>
  <c r="K39" i="3" s="1"/>
  <c r="K40" i="3" s="1"/>
  <c r="F39" i="3"/>
  <c r="H39" i="3" s="1"/>
  <c r="J158" i="2"/>
  <c r="K158" i="2" s="1"/>
  <c r="F118" i="2"/>
  <c r="H118" i="2" s="1"/>
  <c r="E119" i="2"/>
  <c r="G118" i="2"/>
  <c r="I119" i="2" s="1"/>
  <c r="J119" i="2" s="1"/>
  <c r="G77" i="2"/>
  <c r="H37" i="2"/>
  <c r="J118" i="2"/>
  <c r="K118" i="2" s="1"/>
  <c r="F78" i="2"/>
  <c r="H78" i="2" s="1"/>
  <c r="E39" i="2"/>
  <c r="F38" i="2"/>
  <c r="I77" i="2"/>
  <c r="J77" i="2" s="1"/>
  <c r="K77" i="2" s="1"/>
  <c r="I38" i="2"/>
  <c r="J38" i="2" s="1"/>
  <c r="K38" i="2" s="1"/>
  <c r="H37" i="1"/>
  <c r="I38" i="1" s="1"/>
  <c r="J38" i="1" s="1"/>
  <c r="K38" i="1" s="1"/>
  <c r="K39" i="1" s="1"/>
  <c r="F38" i="1"/>
  <c r="H38" i="1" s="1"/>
  <c r="H77" i="1"/>
  <c r="I78" i="1" s="1"/>
  <c r="J78" i="1" s="1"/>
  <c r="K78" i="1" s="1"/>
  <c r="E79" i="1"/>
  <c r="E121" i="1"/>
  <c r="F78" i="1"/>
  <c r="F120" i="1"/>
  <c r="F289" i="1"/>
  <c r="H289" i="1" s="1"/>
  <c r="F373" i="1"/>
  <c r="H373" i="1" s="1"/>
  <c r="I119" i="1"/>
  <c r="J119" i="1" s="1"/>
  <c r="K119" i="1" s="1"/>
  <c r="F330" i="1"/>
  <c r="H330" i="1" s="1"/>
  <c r="E331" i="1"/>
  <c r="F162" i="1"/>
  <c r="H162" i="1" s="1"/>
  <c r="E163" i="1"/>
  <c r="F204" i="1"/>
  <c r="H204" i="1" s="1"/>
  <c r="E205" i="1"/>
  <c r="F247" i="1"/>
  <c r="H247" i="1" s="1"/>
  <c r="G371" i="1"/>
  <c r="I372" i="1" s="1"/>
  <c r="J372" i="1" s="1"/>
  <c r="K372" i="1" s="1"/>
  <c r="G329" i="1"/>
  <c r="I330" i="1" s="1"/>
  <c r="J330" i="1" s="1"/>
  <c r="K330" i="1" s="1"/>
  <c r="G287" i="1"/>
  <c r="I288" i="1" s="1"/>
  <c r="J288" i="1" s="1"/>
  <c r="K288" i="1" s="1"/>
  <c r="G245" i="1"/>
  <c r="I246" i="1" s="1"/>
  <c r="J246" i="1" s="1"/>
  <c r="K246" i="1" s="1"/>
  <c r="G203" i="1"/>
  <c r="I204" i="1" s="1"/>
  <c r="J204" i="1" s="1"/>
  <c r="K204" i="1" s="1"/>
  <c r="G161" i="1"/>
  <c r="I162" i="1" s="1"/>
  <c r="J162" i="1" s="1"/>
  <c r="K162" i="1" s="1"/>
  <c r="H37" i="8" l="1"/>
  <c r="J78" i="8"/>
  <c r="K78" i="8" s="1"/>
  <c r="L78" i="8" s="1"/>
  <c r="L79" i="8" s="1"/>
  <c r="G78" i="8"/>
  <c r="I78" i="8" s="1"/>
  <c r="H78" i="8"/>
  <c r="J38" i="8"/>
  <c r="K38" i="8" s="1"/>
  <c r="L38" i="8" s="1"/>
  <c r="L39" i="8" s="1"/>
  <c r="G38" i="8"/>
  <c r="I38" i="8" s="1"/>
  <c r="G79" i="3"/>
  <c r="I80" i="3"/>
  <c r="G6" i="4"/>
  <c r="H6" i="4" s="1"/>
  <c r="F7" i="4"/>
  <c r="I119" i="4"/>
  <c r="J120" i="4" s="1"/>
  <c r="I159" i="4"/>
  <c r="K159" i="4"/>
  <c r="L159" i="4" s="1"/>
  <c r="L160" i="4" s="1"/>
  <c r="H159" i="5"/>
  <c r="K158" i="5"/>
  <c r="L158" i="5" s="1"/>
  <c r="K119" i="5"/>
  <c r="L119" i="5" s="1"/>
  <c r="L120" i="5" s="1"/>
  <c r="L200" i="5"/>
  <c r="L79" i="4"/>
  <c r="L80" i="4" s="1"/>
  <c r="G5" i="4"/>
  <c r="H5" i="4" s="1"/>
  <c r="J80" i="5"/>
  <c r="I39" i="5"/>
  <c r="J40" i="5" s="1"/>
  <c r="G39" i="3"/>
  <c r="I40" i="3" s="1"/>
  <c r="J159" i="2"/>
  <c r="K159" i="2" s="1"/>
  <c r="K160" i="2" s="1"/>
  <c r="F119" i="2"/>
  <c r="H119" i="2" s="1"/>
  <c r="G78" i="2"/>
  <c r="H38" i="2"/>
  <c r="G38" i="2"/>
  <c r="F39" i="2"/>
  <c r="I78" i="2"/>
  <c r="J78" i="2" s="1"/>
  <c r="K78" i="2" s="1"/>
  <c r="K119" i="2"/>
  <c r="K120" i="2" s="1"/>
  <c r="I39" i="2"/>
  <c r="J39" i="2" s="1"/>
  <c r="K39" i="2" s="1"/>
  <c r="K40" i="2" s="1"/>
  <c r="G38" i="1"/>
  <c r="I39" i="1" s="1"/>
  <c r="F79" i="1"/>
  <c r="G79" i="1" s="1"/>
  <c r="F121" i="1"/>
  <c r="H121" i="1" s="1"/>
  <c r="H78" i="1"/>
  <c r="G120" i="1"/>
  <c r="G78" i="1"/>
  <c r="H120" i="1"/>
  <c r="I120" i="1"/>
  <c r="J120" i="1" s="1"/>
  <c r="K120" i="1" s="1"/>
  <c r="F163" i="1"/>
  <c r="H163" i="1" s="1"/>
  <c r="F331" i="1"/>
  <c r="H331" i="1" s="1"/>
  <c r="F205" i="1"/>
  <c r="H205" i="1" s="1"/>
  <c r="G372" i="1"/>
  <c r="I373" i="1" s="1"/>
  <c r="J373" i="1" s="1"/>
  <c r="K373" i="1" s="1"/>
  <c r="K374" i="1" s="1"/>
  <c r="G330" i="1"/>
  <c r="I331" i="1" s="1"/>
  <c r="J331" i="1" s="1"/>
  <c r="K331" i="1" s="1"/>
  <c r="K332" i="1" s="1"/>
  <c r="G288" i="1"/>
  <c r="I289" i="1" s="1"/>
  <c r="J289" i="1" s="1"/>
  <c r="K289" i="1" s="1"/>
  <c r="K290" i="1" s="1"/>
  <c r="G246" i="1"/>
  <c r="I247" i="1" s="1"/>
  <c r="J247" i="1" s="1"/>
  <c r="K247" i="1" s="1"/>
  <c r="K248" i="1" s="1"/>
  <c r="G204" i="1"/>
  <c r="I205" i="1" s="1"/>
  <c r="J205" i="1" s="1"/>
  <c r="K205" i="1" s="1"/>
  <c r="K206" i="1" s="1"/>
  <c r="G162" i="1"/>
  <c r="I163" i="1" s="1"/>
  <c r="J163" i="1" s="1"/>
  <c r="K163" i="1" s="1"/>
  <c r="K164" i="1" s="1"/>
  <c r="J79" i="8" l="1"/>
  <c r="H38" i="8"/>
  <c r="J39" i="8" s="1"/>
  <c r="J7" i="4"/>
  <c r="K7" i="4" s="1"/>
  <c r="I6" i="4"/>
  <c r="G7" i="4"/>
  <c r="H7" i="4" s="1"/>
  <c r="F8" i="4"/>
  <c r="J6" i="4"/>
  <c r="K6" i="4" s="1"/>
  <c r="J160" i="4"/>
  <c r="J120" i="5"/>
  <c r="J200" i="5"/>
  <c r="K159" i="5"/>
  <c r="L159" i="5" s="1"/>
  <c r="L160" i="5" s="1"/>
  <c r="J80" i="4"/>
  <c r="I5" i="4"/>
  <c r="J5" i="4"/>
  <c r="K5" i="4" s="1"/>
  <c r="L5" i="4" s="1"/>
  <c r="I160" i="2"/>
  <c r="G119" i="2"/>
  <c r="I120" i="2" s="1"/>
  <c r="H39" i="2"/>
  <c r="G39" i="2"/>
  <c r="I79" i="2"/>
  <c r="H79" i="1"/>
  <c r="I80" i="1" s="1"/>
  <c r="G121" i="1"/>
  <c r="I122" i="1" s="1"/>
  <c r="I79" i="1"/>
  <c r="J79" i="1" s="1"/>
  <c r="K79" i="1" s="1"/>
  <c r="K80" i="1" s="1"/>
  <c r="I121" i="1"/>
  <c r="J121" i="1" s="1"/>
  <c r="K121" i="1" s="1"/>
  <c r="K122" i="1" s="1"/>
  <c r="G373" i="1"/>
  <c r="I374" i="1" s="1"/>
  <c r="G331" i="1"/>
  <c r="I332" i="1" s="1"/>
  <c r="G289" i="1"/>
  <c r="I290" i="1" s="1"/>
  <c r="G247" i="1"/>
  <c r="I248" i="1" s="1"/>
  <c r="G205" i="1"/>
  <c r="I206" i="1" s="1"/>
  <c r="G163" i="1"/>
  <c r="I164" i="1" s="1"/>
  <c r="G8" i="4" l="1"/>
  <c r="I8" i="4" s="1"/>
  <c r="H8" i="4"/>
  <c r="J9" i="4" s="1"/>
  <c r="K9" i="4" s="1"/>
  <c r="F9" i="4"/>
  <c r="I7" i="4"/>
  <c r="J8" i="4" s="1"/>
  <c r="K8" i="4" s="1"/>
  <c r="J160" i="5"/>
  <c r="I40" i="2"/>
  <c r="F10" i="4" l="1"/>
  <c r="G9" i="4"/>
  <c r="I9" i="4" s="1"/>
  <c r="L6" i="4"/>
  <c r="F11" i="4" l="1"/>
  <c r="G10" i="4"/>
  <c r="I10" i="4" s="1"/>
  <c r="H9" i="4"/>
  <c r="J10" i="4" s="1"/>
  <c r="K10" i="4" s="1"/>
  <c r="L7" i="4"/>
  <c r="H10" i="4" l="1"/>
  <c r="J11" i="4" s="1"/>
  <c r="K11" i="4" s="1"/>
  <c r="F12" i="4"/>
  <c r="G11" i="4"/>
  <c r="I11" i="4" s="1"/>
  <c r="H11" i="4"/>
  <c r="L8" i="4"/>
  <c r="J12" i="4" l="1"/>
  <c r="K12" i="4" s="1"/>
  <c r="G12" i="4"/>
  <c r="H12" i="4"/>
  <c r="I12" i="4"/>
  <c r="F13" i="4"/>
  <c r="L9" i="4"/>
  <c r="J13" i="4" l="1"/>
  <c r="K13" i="4" s="1"/>
  <c r="I13" i="4"/>
  <c r="G13" i="4"/>
  <c r="H13" i="4" s="1"/>
  <c r="J14" i="4" s="1"/>
  <c r="K14" i="4" s="1"/>
  <c r="F14" i="4"/>
  <c r="L11" i="4"/>
  <c r="F15" i="4" l="1"/>
  <c r="G14" i="4"/>
  <c r="H14" i="4" s="1"/>
  <c r="L12" i="4"/>
  <c r="L10" i="4"/>
  <c r="I14" i="4" l="1"/>
  <c r="J15" i="4" s="1"/>
  <c r="K15" i="4" s="1"/>
  <c r="G15" i="4"/>
  <c r="H15" i="4" s="1"/>
  <c r="F16" i="4"/>
  <c r="L13" i="4"/>
  <c r="I15" i="4" l="1"/>
  <c r="J16" i="4" s="1"/>
  <c r="K16" i="4" s="1"/>
  <c r="F17" i="4"/>
  <c r="G16" i="4"/>
  <c r="I16" i="4" s="1"/>
  <c r="L14" i="4"/>
  <c r="H16" i="4" l="1"/>
  <c r="J17" i="4" s="1"/>
  <c r="K17" i="4" s="1"/>
  <c r="G17" i="4"/>
  <c r="H17" i="4" s="1"/>
  <c r="F18" i="4"/>
  <c r="L15" i="4"/>
  <c r="I17" i="4" l="1"/>
  <c r="G18" i="4"/>
  <c r="H18" i="4" s="1"/>
  <c r="I18" i="4"/>
  <c r="F19" i="4"/>
  <c r="J18" i="4"/>
  <c r="K18" i="4" s="1"/>
  <c r="L16" i="4"/>
  <c r="F20" i="4" l="1"/>
  <c r="G19" i="4"/>
  <c r="H19" i="4" s="1"/>
  <c r="I19" i="4"/>
  <c r="J20" i="4" s="1"/>
  <c r="K20" i="4" s="1"/>
  <c r="J19" i="4"/>
  <c r="K19" i="4" s="1"/>
  <c r="L17" i="4"/>
  <c r="G20" i="4" l="1"/>
  <c r="H20" i="4" s="1"/>
  <c r="F21" i="4"/>
  <c r="I20" i="4"/>
  <c r="J21" i="4" s="1"/>
  <c r="K21" i="4" s="1"/>
  <c r="L19" i="4"/>
  <c r="G21" i="4" l="1"/>
  <c r="H21" i="4" s="1"/>
  <c r="F22" i="4"/>
  <c r="L18" i="4"/>
  <c r="L20" i="4"/>
  <c r="F23" i="4" l="1"/>
  <c r="G22" i="4"/>
  <c r="H22" i="4" s="1"/>
  <c r="I21" i="4"/>
  <c r="J22" i="4" s="1"/>
  <c r="K22" i="4" s="1"/>
  <c r="L21" i="4"/>
  <c r="I22" i="4" l="1"/>
  <c r="J23" i="4" s="1"/>
  <c r="K23" i="4" s="1"/>
  <c r="F24" i="4"/>
  <c r="G23" i="4"/>
  <c r="H23" i="4" s="1"/>
  <c r="I23" i="4"/>
  <c r="J24" i="4" s="1"/>
  <c r="K24" i="4" s="1"/>
  <c r="L22" i="4"/>
  <c r="F25" i="4" l="1"/>
  <c r="G24" i="4"/>
  <c r="I24" i="4" s="1"/>
  <c r="H24" i="4"/>
  <c r="L23" i="4"/>
  <c r="F26" i="4" l="1"/>
  <c r="G25" i="4"/>
  <c r="H25" i="4" s="1"/>
  <c r="I25" i="4"/>
  <c r="J26" i="4" s="1"/>
  <c r="K26" i="4" s="1"/>
  <c r="J25" i="4"/>
  <c r="K25" i="4" s="1"/>
  <c r="L24" i="4"/>
  <c r="G26" i="4" l="1"/>
  <c r="I26" i="4" s="1"/>
  <c r="F27" i="4"/>
  <c r="L25" i="4"/>
  <c r="H26" i="4" l="1"/>
  <c r="J27" i="4" s="1"/>
  <c r="K27" i="4" s="1"/>
  <c r="F28" i="4"/>
  <c r="G27" i="4"/>
  <c r="H27" i="4" s="1"/>
  <c r="L26" i="4"/>
  <c r="I27" i="4" l="1"/>
  <c r="J28" i="4" s="1"/>
  <c r="K28" i="4" s="1"/>
  <c r="F29" i="4"/>
  <c r="G28" i="4"/>
  <c r="I28" i="4" s="1"/>
  <c r="L27" i="4"/>
  <c r="H28" i="4" l="1"/>
  <c r="J29" i="4" s="1"/>
  <c r="K29" i="4" s="1"/>
  <c r="F30" i="4"/>
  <c r="G29" i="4"/>
  <c r="H29" i="4" s="1"/>
  <c r="L28" i="4"/>
  <c r="I29" i="4" l="1"/>
  <c r="J30" i="4" s="1"/>
  <c r="K30" i="4" s="1"/>
  <c r="F31" i="4"/>
  <c r="G30" i="4"/>
  <c r="I30" i="4" s="1"/>
  <c r="L29" i="4"/>
  <c r="H30" i="4" l="1"/>
  <c r="J31" i="4" s="1"/>
  <c r="K31" i="4" s="1"/>
  <c r="G31" i="4"/>
  <c r="H31" i="4" s="1"/>
  <c r="F32" i="4"/>
  <c r="I31" i="4"/>
  <c r="L30" i="4"/>
  <c r="J32" i="4" l="1"/>
  <c r="K32" i="4" s="1"/>
  <c r="F33" i="4"/>
  <c r="G32" i="4"/>
  <c r="H32" i="4" s="1"/>
  <c r="L31" i="4"/>
  <c r="I32" i="4" l="1"/>
  <c r="J33" i="4" s="1"/>
  <c r="K33" i="4" s="1"/>
  <c r="F34" i="4"/>
  <c r="G33" i="4"/>
  <c r="I33" i="4" s="1"/>
  <c r="L32" i="4"/>
  <c r="H33" i="4" l="1"/>
  <c r="J34" i="4" s="1"/>
  <c r="K34" i="4" s="1"/>
  <c r="G34" i="4"/>
  <c r="H34" i="4" s="1"/>
  <c r="J35" i="4" s="1"/>
  <c r="K35" i="4" s="1"/>
  <c r="F35" i="4"/>
  <c r="I34" i="4"/>
  <c r="L33" i="4"/>
  <c r="G35" i="4" l="1"/>
  <c r="H35" i="4" s="1"/>
  <c r="F36" i="4"/>
  <c r="L34" i="4"/>
  <c r="F37" i="4" l="1"/>
  <c r="G36" i="4"/>
  <c r="I36" i="4" s="1"/>
  <c r="I35" i="4"/>
  <c r="J36" i="4" s="1"/>
  <c r="K36" i="4" s="1"/>
  <c r="L35" i="4"/>
  <c r="H36" i="4" l="1"/>
  <c r="J37" i="4" s="1"/>
  <c r="K37" i="4" s="1"/>
  <c r="G37" i="4"/>
  <c r="H37" i="4" s="1"/>
  <c r="F38" i="4"/>
  <c r="I37" i="4"/>
  <c r="L36" i="4"/>
  <c r="G38" i="4" l="1"/>
  <c r="H38" i="4" s="1"/>
  <c r="F39" i="4"/>
  <c r="J38" i="4"/>
  <c r="K38" i="4" s="1"/>
  <c r="L37" i="4"/>
  <c r="J39" i="4" l="1"/>
  <c r="K39" i="4" s="1"/>
  <c r="G39" i="4"/>
  <c r="H39" i="4" s="1"/>
  <c r="I39" i="4"/>
  <c r="I38" i="4"/>
  <c r="L38" i="4"/>
  <c r="L39" i="4" l="1"/>
  <c r="L40" i="4" s="1"/>
  <c r="J40" i="4" l="1"/>
</calcChain>
</file>

<file path=xl/sharedStrings.xml><?xml version="1.0" encoding="utf-8"?>
<sst xmlns="http://schemas.openxmlformats.org/spreadsheetml/2006/main" count="1340" uniqueCount="70">
  <si>
    <t>Bulan</t>
  </si>
  <si>
    <t>Tahun</t>
  </si>
  <si>
    <t>Juni</t>
  </si>
  <si>
    <t>Agustus</t>
  </si>
  <si>
    <t>Juli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</si>
  <si>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</si>
  <si>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</si>
  <si>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</si>
  <si>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</si>
  <si>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</si>
  <si>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</si>
  <si>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</si>
  <si>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</si>
  <si>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</si>
  <si>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S't</t>
  </si>
  <si>
    <t>S''t</t>
  </si>
  <si>
    <t>at</t>
  </si>
  <si>
    <t>bt</t>
  </si>
  <si>
    <t>Ft</t>
  </si>
  <si>
    <t>PE</t>
  </si>
  <si>
    <t>|PE|</t>
  </si>
  <si>
    <t>MAPE</t>
  </si>
  <si>
    <t>Aktual</t>
  </si>
  <si>
    <t>Nilai MAPE</t>
  </si>
  <si>
    <t>Akurasi Prediksi</t>
  </si>
  <si>
    <t>Sangat Baik</t>
  </si>
  <si>
    <t>10% - 20%</t>
  </si>
  <si>
    <t>Baik</t>
  </si>
  <si>
    <t>20% - 50%</t>
  </si>
  <si>
    <t>Cukup Baik</t>
  </si>
  <si>
    <t>&gt; 50%</t>
  </si>
  <si>
    <t>Buruk</t>
  </si>
  <si>
    <t>&lt; 10%</t>
  </si>
  <si>
    <t>Alpha paling optimal</t>
  </si>
  <si>
    <t>alpha optmal</t>
  </si>
  <si>
    <t>alpha optimal</t>
  </si>
  <si>
    <t>alpha terbaik</t>
  </si>
  <si>
    <t>Kaizenka Signature Ramen</t>
  </si>
  <si>
    <t>Curry Ramen</t>
  </si>
  <si>
    <t>Miso Ramen</t>
  </si>
  <si>
    <t>Mango Milk</t>
  </si>
  <si>
    <t>Matcha Milk</t>
  </si>
  <si>
    <t xml:space="preserve">Data Penjualan Produk Ramen Kaizenka </t>
  </si>
  <si>
    <t>1.</t>
  </si>
  <si>
    <t>Apakah prototype menyediakan fungsionalitas dasar untuk memasukkan data penjualan?</t>
  </si>
  <si>
    <t>✓</t>
  </si>
  <si>
    <t>2.</t>
  </si>
  <si>
    <t>Apakah ada fitur peramalan penjualan (Double Exponential Smoothing) yang dapat memberikan perkiraan penjualan di masa depan?</t>
  </si>
  <si>
    <t>3.</t>
  </si>
  <si>
    <t>Apakah fitur sistem memuat data yang membantu pengguna memahami hasil peramalan?</t>
  </si>
  <si>
    <t>4.</t>
  </si>
  <si>
    <t>Apakah formulir mudah dipahami?</t>
  </si>
  <si>
    <t>5.</t>
  </si>
  <si>
    <t>Apakah mudah bagi pengguna untuk memasukkan dan mengakses data penjualan?</t>
  </si>
  <si>
    <t>6.</t>
  </si>
  <si>
    <t>Apakah ada fitur pencarian atau filter untuk memudahkan pengguna menemukan data yang diperlukan?</t>
  </si>
  <si>
    <t>No.</t>
  </si>
  <si>
    <t>Pertanyaan</t>
  </si>
  <si>
    <t>Penilaian</t>
  </si>
  <si>
    <t>Hasil Penilaian Prototype</t>
  </si>
  <si>
    <t>SS</t>
  </si>
  <si>
    <t>S</t>
  </si>
  <si>
    <t>KS</t>
  </si>
  <si>
    <t>TS</t>
  </si>
  <si>
    <t>STS</t>
  </si>
  <si>
    <t>Periode</t>
  </si>
  <si>
    <t>No</t>
  </si>
  <si>
    <t>Alpha</t>
  </si>
  <si>
    <t>Hasil MAPE</t>
  </si>
  <si>
    <t>Nilai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</si>
</sst>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0.0000_ ;\-0.0000\ "/>
    <numFmt numFmtId="167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3" fillId="2" borderId="1" applyNumberFormat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10" fontId="0" fillId="0" borderId="0" xfId="0" applyNumberFormat="1"/>
    <xf numFmtId="0" fontId="3" fillId="2" borderId="1" xfId="1"/>
    <xf numFmtId="1" fontId="3" fillId="2" borderId="1" xfId="1" applyNumberFormat="1"/>
    <xf numFmtId="164" fontId="3" fillId="2" borderId="1" xfId="1" applyNumberFormat="1"/>
    <xf numFmtId="9" fontId="3" fillId="3" borderId="1" xfId="1" applyNumberFormat="1" applyFill="1"/>
    <xf numFmtId="1" fontId="3" fillId="3" borderId="1" xfId="1" applyNumberFormat="1" applyFill="1"/>
    <xf numFmtId="0" fontId="3" fillId="3" borderId="1" xfId="1" applyNumberFormat="1" applyFill="1"/>
    <xf numFmtId="0" fontId="3" fillId="3" borderId="1" xfId="1" applyFill="1"/>
    <xf numFmtId="164" fontId="3" fillId="3" borderId="1" xfId="1" applyNumberFormat="1" applyFill="1"/>
    <xf numFmtId="0" fontId="3" fillId="4" borderId="1" xfId="1" applyFill="1"/>
    <xf numFmtId="0" fontId="0" fillId="4" borderId="0" xfId="0" applyFill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/>
    <xf numFmtId="165" fontId="0" fillId="0" borderId="2" xfId="2" applyNumberFormat="1" applyFont="1" applyBorder="1"/>
    <xf numFmtId="165" fontId="0" fillId="0" borderId="0" xfId="2" applyNumberFormat="1" applyFont="1"/>
    <xf numFmtId="0" fontId="3" fillId="4" borderId="1" xfId="1" applyNumberFormat="1" applyFill="1"/>
    <xf numFmtId="0" fontId="3" fillId="2" borderId="1" xfId="1" applyNumberFormat="1"/>
    <xf numFmtId="0" fontId="3" fillId="3" borderId="1" xfId="3" applyNumberFormat="1" applyFont="1" applyFill="1" applyBorder="1"/>
    <xf numFmtId="0" fontId="0" fillId="3" borderId="2" xfId="0" applyFill="1" applyBorder="1"/>
    <xf numFmtId="165" fontId="0" fillId="3" borderId="2" xfId="2" applyNumberFormat="1" applyFont="1" applyFill="1" applyBorder="1"/>
    <xf numFmtId="0" fontId="0" fillId="0" borderId="2" xfId="2" applyNumberFormat="1" applyFont="1" applyBorder="1"/>
    <xf numFmtId="0" fontId="0" fillId="3" borderId="2" xfId="2" applyNumberFormat="1" applyFont="1" applyFill="1" applyBorder="1"/>
    <xf numFmtId="0" fontId="0" fillId="0" borderId="0" xfId="2" applyNumberFormat="1" applyFont="1"/>
    <xf numFmtId="166" fontId="3" fillId="4" borderId="1" xfId="1" applyNumberFormat="1" applyFill="1"/>
    <xf numFmtId="166" fontId="3" fillId="2" borderId="1" xfId="1" applyNumberFormat="1"/>
    <xf numFmtId="166" fontId="3" fillId="3" borderId="1" xfId="3" applyNumberFormat="1" applyFont="1" applyFill="1" applyBorder="1"/>
    <xf numFmtId="166" fontId="0" fillId="0" borderId="0" xfId="0" applyNumberFormat="1"/>
    <xf numFmtId="0" fontId="3" fillId="2" borderId="1" xfId="2" applyNumberFormat="1" applyFont="1" applyFill="1" applyBorder="1"/>
    <xf numFmtId="0" fontId="3" fillId="4" borderId="1" xfId="2" applyNumberFormat="1" applyFont="1" applyFill="1" applyBorder="1"/>
    <xf numFmtId="0" fontId="3" fillId="3" borderId="1" xfId="2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2" applyNumberFormat="1" applyFont="1" applyBorder="1" applyAlignment="1">
      <alignment horizontal="center"/>
    </xf>
    <xf numFmtId="0" fontId="0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4" borderId="3" xfId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 wrapText="1"/>
    </xf>
    <xf numFmtId="0" fontId="3" fillId="4" borderId="3" xfId="1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2" applyNumberFormat="1" applyFont="1" applyBorder="1" applyAlignment="1">
      <alignment horizontal="left" vertical="center"/>
    </xf>
    <xf numFmtId="0" fontId="0" fillId="0" borderId="4" xfId="0" applyBorder="1"/>
    <xf numFmtId="0" fontId="0" fillId="0" borderId="2" xfId="0" applyBorder="1" applyAlignment="1">
      <alignment vertical="center" wrapText="1"/>
    </xf>
    <xf numFmtId="1" fontId="3" fillId="4" borderId="1" xfId="1" applyNumberFormat="1" applyFill="1"/>
    <xf numFmtId="1" fontId="0" fillId="0" borderId="0" xfId="0" applyNumberFormat="1"/>
    <xf numFmtId="167" fontId="3" fillId="4" borderId="1" xfId="1" applyNumberFormat="1" applyFill="1"/>
    <xf numFmtId="167" fontId="3" fillId="2" borderId="1" xfId="1" applyNumberFormat="1"/>
    <xf numFmtId="167" fontId="3" fillId="3" borderId="1" xfId="1" applyNumberFormat="1" applyFill="1"/>
    <xf numFmtId="167" fontId="0" fillId="0" borderId="0" xfId="0" applyNumberFormat="1"/>
    <xf numFmtId="0" fontId="3" fillId="2" borderId="7" xfId="1" applyBorder="1"/>
    <xf numFmtId="9" fontId="3" fillId="3" borderId="7" xfId="1" applyNumberFormat="1" applyFill="1" applyBorder="1"/>
    <xf numFmtId="0" fontId="3" fillId="4" borderId="8" xfId="1" applyFill="1" applyBorder="1"/>
    <xf numFmtId="0" fontId="0" fillId="0" borderId="2" xfId="0" applyBorder="1" applyAlignment="1">
      <alignment horizontal="center"/>
    </xf>
    <xf numFmtId="0" fontId="3" fillId="3" borderId="2" xfId="1" applyNumberForma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4" borderId="2" xfId="1" applyNumberFormat="1" applyFill="1" applyBorder="1" applyAlignment="1">
      <alignment horizontal="center" vertical="center" wrapText="1"/>
    </xf>
  </cellXfs>
  <cellStyles count="4">
    <cellStyle name="Keluaran" xfId="1" builtinId="21"/>
    <cellStyle name="Koma" xfId="2" builtinId="3"/>
    <cellStyle name="Normal" xfId="0" builtinId="0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'Kaizenka Signature Ramen'!$B$86:$C$121</c15:sqref>
                  </c15:fullRef>
                  <c15:levelRef>
                    <c15:sqref>'Kaizenka Signature Ramen'!$B$86:$B$121</c15:sqref>
                  </c15:levelRef>
                </c:ext>
              </c:extLst>
              <c:f>'Kaizenka Signature Ramen'!$B$86:$B$121</c:f>
              <c:strCache>
                <c:ptCount val="36"/>
                <c:pt idx="0">
                  <c:v>Desember</c:v>
                </c:pt>
                <c:pt idx="1">
                  <c:v>Januari</c:v>
                </c:pt>
                <c:pt idx="2">
                  <c:v>Februari</c:v>
                </c:pt>
                <c:pt idx="3">
                  <c:v>Maret</c:v>
                </c:pt>
                <c:pt idx="4">
                  <c:v>April</c:v>
                </c:pt>
                <c:pt idx="5">
                  <c:v>Mei</c:v>
                </c:pt>
                <c:pt idx="6">
                  <c:v>Juni</c:v>
                </c:pt>
                <c:pt idx="7">
                  <c:v>Juli</c:v>
                </c:pt>
                <c:pt idx="8">
                  <c:v>Agustus</c:v>
                </c:pt>
                <c:pt idx="9">
                  <c:v>September</c:v>
                </c:pt>
                <c:pt idx="10">
                  <c:v>Oktober</c:v>
                </c:pt>
                <c:pt idx="11">
                  <c:v>November</c:v>
                </c:pt>
                <c:pt idx="12">
                  <c:v>Desember</c:v>
                </c:pt>
                <c:pt idx="13">
                  <c:v>Januari</c:v>
                </c:pt>
                <c:pt idx="14">
                  <c:v>Februari</c:v>
                </c:pt>
                <c:pt idx="15">
                  <c:v>Maret</c:v>
                </c:pt>
                <c:pt idx="16">
                  <c:v>April</c:v>
                </c:pt>
                <c:pt idx="17">
                  <c:v>Mei</c:v>
                </c:pt>
                <c:pt idx="18">
                  <c:v>Juni</c:v>
                </c:pt>
                <c:pt idx="19">
                  <c:v>Juli</c:v>
                </c:pt>
                <c:pt idx="20">
                  <c:v>Agustus</c:v>
                </c:pt>
                <c:pt idx="21">
                  <c:v>September</c:v>
                </c:pt>
                <c:pt idx="22">
                  <c:v>Oktober</c:v>
                </c:pt>
                <c:pt idx="23">
                  <c:v>November</c:v>
                </c:pt>
                <c:pt idx="24">
                  <c:v>Desember</c:v>
                </c:pt>
                <c:pt idx="25">
                  <c:v>Januari</c:v>
                </c:pt>
                <c:pt idx="26">
                  <c:v>Februari</c:v>
                </c:pt>
                <c:pt idx="27">
                  <c:v>Maret</c:v>
                </c:pt>
                <c:pt idx="28">
                  <c:v>April</c:v>
                </c:pt>
                <c:pt idx="29">
                  <c:v>Mei</c:v>
                </c:pt>
                <c:pt idx="30">
                  <c:v>Juni</c:v>
                </c:pt>
                <c:pt idx="31">
                  <c:v>Juli</c:v>
                </c:pt>
                <c:pt idx="32">
                  <c:v>Agustus</c:v>
                </c:pt>
                <c:pt idx="33">
                  <c:v>September</c:v>
                </c:pt>
                <c:pt idx="34">
                  <c:v>Oktober</c:v>
                </c:pt>
                <c:pt idx="35">
                  <c:v>November</c:v>
                </c:pt>
              </c:strCache>
            </c:strRef>
          </c:cat>
          <c:val>
            <c:numRef>
              <c:f>'Kaizenka Signature Ramen'!$D$86:$D$121</c:f>
              <c:numCache>
                <c:formatCode>General</c:formatCode>
                <c:ptCount val="36"/>
                <c:pt idx="0">
                  <c:v>20</c:v>
                </c:pt>
                <c:pt idx="1">
                  <c:v>25</c:v>
                </c:pt>
                <c:pt idx="2">
                  <c:v>27</c:v>
                </c:pt>
                <c:pt idx="3">
                  <c:v>30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30</c:v>
                </c:pt>
                <c:pt idx="8">
                  <c:v>28</c:v>
                </c:pt>
                <c:pt idx="9">
                  <c:v>26</c:v>
                </c:pt>
                <c:pt idx="10">
                  <c:v>26</c:v>
                </c:pt>
                <c:pt idx="11">
                  <c:v>22</c:v>
                </c:pt>
                <c:pt idx="12" formatCode="0">
                  <c:v>20</c:v>
                </c:pt>
                <c:pt idx="13" formatCode="0">
                  <c:v>25</c:v>
                </c:pt>
                <c:pt idx="14" formatCode="0">
                  <c:v>29</c:v>
                </c:pt>
                <c:pt idx="15" formatCode="0">
                  <c:v>30</c:v>
                </c:pt>
                <c:pt idx="16" formatCode="0">
                  <c:v>33</c:v>
                </c:pt>
                <c:pt idx="17" formatCode="0">
                  <c:v>37</c:v>
                </c:pt>
                <c:pt idx="18" formatCode="0">
                  <c:v>39</c:v>
                </c:pt>
                <c:pt idx="19" formatCode="0">
                  <c:v>35</c:v>
                </c:pt>
                <c:pt idx="20" formatCode="0">
                  <c:v>31</c:v>
                </c:pt>
                <c:pt idx="21" formatCode="0">
                  <c:v>29</c:v>
                </c:pt>
                <c:pt idx="22" formatCode="0">
                  <c:v>29</c:v>
                </c:pt>
                <c:pt idx="23" formatCode="0">
                  <c:v>27</c:v>
                </c:pt>
                <c:pt idx="24" formatCode="0">
                  <c:v>25</c:v>
                </c:pt>
                <c:pt idx="25" formatCode="0">
                  <c:v>28</c:v>
                </c:pt>
                <c:pt idx="26" formatCode="0">
                  <c:v>30</c:v>
                </c:pt>
                <c:pt idx="27" formatCode="0">
                  <c:v>35</c:v>
                </c:pt>
                <c:pt idx="28" formatCode="0">
                  <c:v>39</c:v>
                </c:pt>
                <c:pt idx="29" formatCode="0">
                  <c:v>48</c:v>
                </c:pt>
                <c:pt idx="30" formatCode="0">
                  <c:v>52</c:v>
                </c:pt>
                <c:pt idx="31" formatCode="0">
                  <c:v>47</c:v>
                </c:pt>
                <c:pt idx="32" formatCode="0">
                  <c:v>40</c:v>
                </c:pt>
                <c:pt idx="33" formatCode="0">
                  <c:v>36</c:v>
                </c:pt>
                <c:pt idx="34" formatCode="0">
                  <c:v>35</c:v>
                </c:pt>
                <c:pt idx="35" formatCode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7BB-8E30-2B6B2C83C7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302928"/>
        <c:axId val="426303408"/>
      </c:barChart>
      <c:catAx>
        <c:axId val="42630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03408"/>
        <c:crosses val="autoZero"/>
        <c:auto val="1"/>
        <c:lblAlgn val="ctr"/>
        <c:lblOffset val="100"/>
        <c:noMultiLvlLbl val="0"/>
      </c:catAx>
      <c:valAx>
        <c:axId val="4263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0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'Curry Ramen'!$D$4:$D$40</c:f>
              <c:numCache>
                <c:formatCode>_-* #,##0_-;\-* #,##0_-;_-* "-"??_-;_-@_-</c:formatCode>
                <c:ptCount val="37"/>
                <c:pt idx="0">
                  <c:v>20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  <c:pt idx="10">
                  <c:v>22</c:v>
                </c:pt>
                <c:pt idx="11">
                  <c:v>24</c:v>
                </c:pt>
                <c:pt idx="12">
                  <c:v>27</c:v>
                </c:pt>
                <c:pt idx="13">
                  <c:v>25</c:v>
                </c:pt>
                <c:pt idx="14">
                  <c:v>22</c:v>
                </c:pt>
                <c:pt idx="15">
                  <c:v>20</c:v>
                </c:pt>
                <c:pt idx="16">
                  <c:v>19</c:v>
                </c:pt>
                <c:pt idx="17">
                  <c:v>15</c:v>
                </c:pt>
                <c:pt idx="18">
                  <c:v>15</c:v>
                </c:pt>
                <c:pt idx="19">
                  <c:v>20</c:v>
                </c:pt>
                <c:pt idx="20">
                  <c:v>25</c:v>
                </c:pt>
                <c:pt idx="21">
                  <c:v>27</c:v>
                </c:pt>
                <c:pt idx="22">
                  <c:v>30</c:v>
                </c:pt>
                <c:pt idx="23">
                  <c:v>32</c:v>
                </c:pt>
                <c:pt idx="24">
                  <c:v>32</c:v>
                </c:pt>
                <c:pt idx="25">
                  <c:v>29</c:v>
                </c:pt>
                <c:pt idx="26">
                  <c:v>26</c:v>
                </c:pt>
                <c:pt idx="27">
                  <c:v>24</c:v>
                </c:pt>
                <c:pt idx="28">
                  <c:v>20</c:v>
                </c:pt>
                <c:pt idx="29">
                  <c:v>18</c:v>
                </c:pt>
                <c:pt idx="30">
                  <c:v>16</c:v>
                </c:pt>
                <c:pt idx="31">
                  <c:v>21</c:v>
                </c:pt>
                <c:pt idx="32">
                  <c:v>23</c:v>
                </c:pt>
                <c:pt idx="33">
                  <c:v>24</c:v>
                </c:pt>
                <c:pt idx="34">
                  <c:v>28</c:v>
                </c:pt>
                <c:pt idx="3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E-4E29-A316-F973F1B938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65358319"/>
        <c:axId val="1465358799"/>
      </c:barChart>
      <c:catAx>
        <c:axId val="14653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58799"/>
        <c:crosses val="autoZero"/>
        <c:auto val="1"/>
        <c:lblAlgn val="ctr"/>
        <c:lblOffset val="100"/>
        <c:noMultiLvlLbl val="0"/>
      </c:catAx>
      <c:valAx>
        <c:axId val="14653587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5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'Miso Ramen'!$D$4:$D$39</c:f>
              <c:numCache>
                <c:formatCode>_-* #,##0_-;\-* #,##0_-;_-* "-"??_-;_-@_-</c:formatCode>
                <c:ptCount val="36"/>
                <c:pt idx="0">
                  <c:v>24</c:v>
                </c:pt>
                <c:pt idx="1">
                  <c:v>26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30</c:v>
                </c:pt>
                <c:pt idx="6">
                  <c:v>32</c:v>
                </c:pt>
                <c:pt idx="7">
                  <c:v>29</c:v>
                </c:pt>
                <c:pt idx="8">
                  <c:v>27</c:v>
                </c:pt>
                <c:pt idx="9">
                  <c:v>25</c:v>
                </c:pt>
                <c:pt idx="10">
                  <c:v>25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24</c:v>
                </c:pt>
                <c:pt idx="15">
                  <c:v>25</c:v>
                </c:pt>
                <c:pt idx="16">
                  <c:v>29</c:v>
                </c:pt>
                <c:pt idx="17">
                  <c:v>33</c:v>
                </c:pt>
                <c:pt idx="18">
                  <c:v>34</c:v>
                </c:pt>
                <c:pt idx="19">
                  <c:v>30</c:v>
                </c:pt>
                <c:pt idx="20">
                  <c:v>27</c:v>
                </c:pt>
                <c:pt idx="21">
                  <c:v>26</c:v>
                </c:pt>
                <c:pt idx="22">
                  <c:v>25</c:v>
                </c:pt>
                <c:pt idx="23">
                  <c:v>21</c:v>
                </c:pt>
                <c:pt idx="24">
                  <c:v>18</c:v>
                </c:pt>
                <c:pt idx="25">
                  <c:v>20</c:v>
                </c:pt>
                <c:pt idx="26">
                  <c:v>24</c:v>
                </c:pt>
                <c:pt idx="27">
                  <c:v>27</c:v>
                </c:pt>
                <c:pt idx="28">
                  <c:v>28</c:v>
                </c:pt>
                <c:pt idx="29">
                  <c:v>34</c:v>
                </c:pt>
                <c:pt idx="30">
                  <c:v>36</c:v>
                </c:pt>
                <c:pt idx="31">
                  <c:v>33</c:v>
                </c:pt>
                <c:pt idx="32">
                  <c:v>30</c:v>
                </c:pt>
                <c:pt idx="33">
                  <c:v>25</c:v>
                </c:pt>
                <c:pt idx="34">
                  <c:v>20</c:v>
                </c:pt>
                <c:pt idx="3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F-46FB-83FE-2FEDFDC71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909503"/>
        <c:axId val="1636908063"/>
      </c:barChart>
      <c:catAx>
        <c:axId val="16369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08063"/>
        <c:crosses val="autoZero"/>
        <c:auto val="1"/>
        <c:lblAlgn val="ctr"/>
        <c:lblOffset val="100"/>
        <c:noMultiLvlLbl val="0"/>
      </c:catAx>
      <c:valAx>
        <c:axId val="16369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0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'Mango Milk'!$E$4:$E$39</c:f>
              <c:numCache>
                <c:formatCode>General</c:formatCode>
                <c:ptCount val="36"/>
                <c:pt idx="0">
                  <c:v>15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22</c:v>
                </c:pt>
                <c:pt idx="7">
                  <c:v>18</c:v>
                </c:pt>
                <c:pt idx="8">
                  <c:v>15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20</c:v>
                </c:pt>
                <c:pt idx="20">
                  <c:v>19</c:v>
                </c:pt>
                <c:pt idx="21">
                  <c:v>19</c:v>
                </c:pt>
                <c:pt idx="22">
                  <c:v>18</c:v>
                </c:pt>
                <c:pt idx="23">
                  <c:v>18</c:v>
                </c:pt>
                <c:pt idx="24">
                  <c:v>16</c:v>
                </c:pt>
                <c:pt idx="25">
                  <c:v>18</c:v>
                </c:pt>
                <c:pt idx="26">
                  <c:v>20</c:v>
                </c:pt>
                <c:pt idx="27">
                  <c:v>22</c:v>
                </c:pt>
                <c:pt idx="28">
                  <c:v>22</c:v>
                </c:pt>
                <c:pt idx="29">
                  <c:v>25</c:v>
                </c:pt>
                <c:pt idx="30">
                  <c:v>26</c:v>
                </c:pt>
                <c:pt idx="31">
                  <c:v>24</c:v>
                </c:pt>
                <c:pt idx="32">
                  <c:v>20</c:v>
                </c:pt>
                <c:pt idx="33">
                  <c:v>19</c:v>
                </c:pt>
                <c:pt idx="34">
                  <c:v>18</c:v>
                </c:pt>
                <c:pt idx="3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4-43A1-8D19-655E0EFAB9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110795855"/>
        <c:axId val="2110780495"/>
      </c:barChart>
      <c:catAx>
        <c:axId val="211079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80495"/>
        <c:crosses val="autoZero"/>
        <c:auto val="1"/>
        <c:lblAlgn val="ctr"/>
        <c:lblOffset val="100"/>
        <c:noMultiLvlLbl val="0"/>
      </c:catAx>
      <c:valAx>
        <c:axId val="211078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9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'Matcha Milk'!$E$4:$E$39</c:f>
              <c:numCache>
                <c:formatCode>General</c:formatCode>
                <c:ptCount val="36"/>
                <c:pt idx="0">
                  <c:v>15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18</c:v>
                </c:pt>
                <c:pt idx="13">
                  <c:v>15</c:v>
                </c:pt>
                <c:pt idx="14">
                  <c:v>14</c:v>
                </c:pt>
                <c:pt idx="15">
                  <c:v>12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12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19</c:v>
                </c:pt>
                <c:pt idx="26">
                  <c:v>13</c:v>
                </c:pt>
                <c:pt idx="27">
                  <c:v>12</c:v>
                </c:pt>
                <c:pt idx="28">
                  <c:v>10</c:v>
                </c:pt>
                <c:pt idx="29">
                  <c:v>10</c:v>
                </c:pt>
                <c:pt idx="30">
                  <c:v>12</c:v>
                </c:pt>
                <c:pt idx="31">
                  <c:v>13</c:v>
                </c:pt>
                <c:pt idx="32">
                  <c:v>15</c:v>
                </c:pt>
                <c:pt idx="33">
                  <c:v>15</c:v>
                </c:pt>
                <c:pt idx="34">
                  <c:v>18</c:v>
                </c:pt>
                <c:pt idx="3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1-4066-A3A3-497C2BF11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629807"/>
        <c:axId val="1738626447"/>
      </c:barChart>
      <c:catAx>
        <c:axId val="173862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6447"/>
        <c:crosses val="autoZero"/>
        <c:auto val="1"/>
        <c:lblAlgn val="ctr"/>
        <c:lblOffset val="100"/>
        <c:noMultiLvlLbl val="0"/>
      </c:catAx>
      <c:valAx>
        <c:axId val="17386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118237</xdr:colOff>
      <xdr:row>41</xdr:row>
      <xdr:rowOff>2054</xdr:rowOff>
    </xdr:from>
    <xdr:to>
      <xdr:col>16</xdr:col>
      <xdr:colOff>3485213</xdr:colOff>
      <xdr:row>57</xdr:row>
      <xdr:rowOff>46844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DD876CA1-4C9D-A06E-0190-82341E3A742A}"/>
                </a:ext>
              </a:extLst>
            </xdr:cNvPr>
            <xdr:cNvSpPr/>
          </xdr:nvSpPr>
          <xdr:spPr>
            <a:xfrm>
              <a:off x="17072737" y="7812554"/>
              <a:ext cx="3938476" cy="3092790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228600" lvl="0" indent="-228600" algn="l">
                <a:buFont typeface="+mj-lt"/>
                <a:buAutoNum type="arabicPeriod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Smoothing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Pertama (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+(1−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2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Smoothing Kedua (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′′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+(1−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3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b>
                  </m:sSub>
                  <m:r>
                    <a:rPr lang="id-ID" sz="1800" b="0" i="1" cap="none" spc="0">
                      <a:ln>
                        <a:noFill/>
                      </a:ln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4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Kedua 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b>
                  </m:sSub>
                  <m:r>
                    <a:rPr lang="id-ID" sz="1800" b="0" i="1" cap="none" spc="0">
                      <a:ln>
                        <a:noFill/>
                      </a:ln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num>
                      <m:den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den>
                    </m:f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p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p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′′</m:t>
                            </m:r>
                          </m:sup>
                        </m:sSup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5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Peramalan 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b>
                  </m:sSub>
                  <m:r>
                    <a:rPr lang="id-ID" sz="1800" b="0" i="1" cap="none" spc="0">
                      <a:ln>
                        <a:noFill/>
                      </a:ln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algn="l"/>
              <a:endParaRPr lang="en-ID" sz="1100">
                <a:ln>
                  <a:solidFill>
                    <a:sysClr val="windowText" lastClr="000000"/>
                  </a:solidFill>
                </a:ln>
                <a:noFill/>
              </a:endParaRPr>
            </a:p>
          </xdr:txBody>
        </xdr:sp>
      </mc:Choice>
      <mc:Fallback xmlns="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DD876CA1-4C9D-A06E-0190-82341E3A742A}"/>
                </a:ext>
              </a:extLst>
            </xdr:cNvPr>
            <xdr:cNvSpPr/>
          </xdr:nvSpPr>
          <xdr:spPr>
            <a:xfrm>
              <a:off x="17072737" y="7812554"/>
              <a:ext cx="3938476" cy="3092790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228600" lvl="0" indent="-228600" algn="l">
                <a:buFont typeface="+mj-lt"/>
                <a:buAutoNum type="arabicPeriod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Smoothing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Pertama (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=𝛼 𝑋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𝑡+(1−𝛼)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𝑡−1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2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Smoothing Kedua (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=𝛼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𝑡+(1−𝛼)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𝑡−1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3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𝑡=2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4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Kedua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(𝑏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𝑡=𝛼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1−𝛼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5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Peramalan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(𝐹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𝑡+𝑚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𝑡+𝑚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=𝑎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𝑡+𝑏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(𝑚)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algn="l"/>
              <a:endParaRPr lang="en-ID" sz="1100">
                <a:ln>
                  <a:solidFill>
                    <a:sysClr val="windowText" lastClr="000000"/>
                  </a:solidFill>
                </a:ln>
                <a:noFill/>
              </a:endParaRPr>
            </a:p>
          </xdr:txBody>
        </xdr:sp>
      </mc:Fallback>
    </mc:AlternateContent>
    <xdr:clientData/>
  </xdr:twoCellAnchor>
  <xdr:twoCellAnchor>
    <xdr:from>
      <xdr:col>13</xdr:col>
      <xdr:colOff>194830</xdr:colOff>
      <xdr:row>59</xdr:row>
      <xdr:rowOff>145906</xdr:rowOff>
    </xdr:from>
    <xdr:to>
      <xdr:col>16</xdr:col>
      <xdr:colOff>3102429</xdr:colOff>
      <xdr:row>75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B73C53-33B9-496C-2D27-2C77E3F05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5</xdr:row>
      <xdr:rowOff>90487</xdr:rowOff>
    </xdr:from>
    <xdr:to>
      <xdr:col>18</xdr:col>
      <xdr:colOff>552450</xdr:colOff>
      <xdr:row>19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1119D0-0231-7B69-C4D3-969844B4B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28015</xdr:colOff>
      <xdr:row>6</xdr:row>
      <xdr:rowOff>113179</xdr:rowOff>
    </xdr:from>
    <xdr:to>
      <xdr:col>20</xdr:col>
      <xdr:colOff>364191</xdr:colOff>
      <xdr:row>20</xdr:row>
      <xdr:rowOff>189379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CE5CB-48C2-35C2-D70F-B50349389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5</xdr:row>
      <xdr:rowOff>138112</xdr:rowOff>
    </xdr:from>
    <xdr:to>
      <xdr:col>20</xdr:col>
      <xdr:colOff>276225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94916-1725-2D4A-1E42-75A85A1D8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</xdr:row>
      <xdr:rowOff>176212</xdr:rowOff>
    </xdr:from>
    <xdr:to>
      <xdr:col>20</xdr:col>
      <xdr:colOff>304800</xdr:colOff>
      <xdr:row>20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1FE82-FE97-7D30-370B-BD3B05964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1511-C9ED-493A-9228-DC19FA7F3878}">
  <dimension ref="A2:T374"/>
  <sheetViews>
    <sheetView tabSelected="1" topLeftCell="F1" zoomScale="85" zoomScaleNormal="85" workbookViewId="0">
      <selection activeCell="Q17" sqref="Q17"/>
    </sheetView>
  </sheetViews>
  <sheetFormatPr defaultRowHeight="15" x14ac:dyDescent="0.25"/>
  <cols>
    <col min="1" max="1" width="12.28515625" customWidth="1"/>
    <col min="2" max="2" width="10.85546875" bestFit="1" customWidth="1"/>
    <col min="3" max="3" width="6.42578125" bestFit="1" customWidth="1"/>
    <col min="4" max="4" width="6.7109375" bestFit="1" customWidth="1"/>
    <col min="5" max="7" width="12.28515625" bestFit="1" customWidth="1"/>
    <col min="8" max="8" width="12.85546875" bestFit="1" customWidth="1"/>
    <col min="9" max="9" width="12.28515625" bestFit="1" customWidth="1"/>
    <col min="10" max="10" width="7.42578125" bestFit="1" customWidth="1"/>
    <col min="11" max="11" width="7.7109375" bestFit="1" customWidth="1"/>
    <col min="14" max="14" width="12.7109375" customWidth="1"/>
    <col min="17" max="17" width="56.28515625" customWidth="1"/>
    <col min="18" max="18" width="3.7109375" bestFit="1" customWidth="1"/>
    <col min="19" max="19" width="12.85546875" bestFit="1" customWidth="1"/>
    <col min="20" max="20" width="32.7109375" customWidth="1"/>
    <col min="21" max="21" width="17.85546875" bestFit="1" customWidth="1"/>
    <col min="22" max="22" width="24.5703125" bestFit="1" customWidth="1"/>
    <col min="23" max="23" width="25.42578125" customWidth="1"/>
    <col min="24" max="24" width="23.5703125" customWidth="1"/>
    <col min="25" max="25" width="26.5703125" customWidth="1"/>
    <col min="26" max="26" width="28.140625" customWidth="1"/>
    <col min="27" max="27" width="33.28515625" customWidth="1"/>
    <col min="30" max="30" width="21.85546875" customWidth="1"/>
  </cols>
  <sheetData>
    <row r="2" spans="2:20" x14ac:dyDescent="0.25">
      <c r="B2" s="11" t="s">
        <v>0</v>
      </c>
      <c r="C2" s="11" t="s">
        <v>1</v>
      </c>
      <c r="D2" s="11" t="s">
        <v>22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N2" s="12">
        <v>0.9</v>
      </c>
      <c r="R2" s="58" t="s">
        <v>69</v>
      </c>
      <c r="S2" s="58"/>
      <c r="T2" s="58"/>
    </row>
    <row r="3" spans="2:20" x14ac:dyDescent="0.25">
      <c r="B3" s="3" t="s">
        <v>8</v>
      </c>
      <c r="C3" s="3">
        <v>2021</v>
      </c>
      <c r="D3" s="3">
        <v>20</v>
      </c>
      <c r="E3" s="3">
        <v>20</v>
      </c>
      <c r="F3" s="3">
        <v>20</v>
      </c>
      <c r="G3" s="3">
        <v>20</v>
      </c>
      <c r="H3" s="3">
        <v>0</v>
      </c>
      <c r="I3" s="3"/>
      <c r="J3" s="4"/>
      <c r="K3" s="4"/>
      <c r="N3" s="12">
        <v>0.1</v>
      </c>
      <c r="R3" s="56" t="s">
        <v>66</v>
      </c>
      <c r="S3" s="56" t="s">
        <v>67</v>
      </c>
      <c r="T3" s="56" t="s">
        <v>68</v>
      </c>
    </row>
    <row r="4" spans="2:20" x14ac:dyDescent="0.25">
      <c r="B4" s="3" t="s">
        <v>9</v>
      </c>
      <c r="C4" s="3">
        <v>2022</v>
      </c>
      <c r="D4" s="3">
        <v>25</v>
      </c>
      <c r="E4" s="3">
        <f>($N$2)*D4+($N$3)*E3</f>
        <v>24.5</v>
      </c>
      <c r="F4" s="3">
        <f>($N$2)*E4+($N$3)*F3</f>
        <v>24.05</v>
      </c>
      <c r="G4" s="3">
        <f>2*(E4)-(F4)</f>
        <v>24.95</v>
      </c>
      <c r="H4" s="3">
        <f>$N$2/$N$3*(E4-F4)</f>
        <v>4.0499999999999936</v>
      </c>
      <c r="I4" s="3">
        <f>G3+H3</f>
        <v>20</v>
      </c>
      <c r="J4" s="5">
        <f>(D4-I4)/D4</f>
        <v>0.2</v>
      </c>
      <c r="K4" s="5">
        <f>ABS(J4)</f>
        <v>0.2</v>
      </c>
      <c r="R4" s="56">
        <v>1</v>
      </c>
      <c r="S4" s="56">
        <v>0.1</v>
      </c>
      <c r="T4" s="57">
        <f>K374</f>
        <v>16.863659193061846</v>
      </c>
    </row>
    <row r="5" spans="2:20" x14ac:dyDescent="0.25">
      <c r="B5" s="3" t="s">
        <v>10</v>
      </c>
      <c r="C5" s="3">
        <v>2022</v>
      </c>
      <c r="D5" s="3">
        <v>27</v>
      </c>
      <c r="E5" s="3">
        <f t="shared" ref="E5:F5" si="0">($N$2)*D5+($N$3)*E4</f>
        <v>26.75</v>
      </c>
      <c r="F5" s="3">
        <f t="shared" si="0"/>
        <v>26.48</v>
      </c>
      <c r="G5" s="3">
        <f t="shared" ref="G5:G38" si="1">2*(E5)-(F5)</f>
        <v>27.02</v>
      </c>
      <c r="H5" s="3">
        <f t="shared" ref="H5:H38" si="2">$N$2/$N$3*(E5-F5)</f>
        <v>2.4299999999999962</v>
      </c>
      <c r="I5" s="3">
        <f>G4+H4</f>
        <v>28.999999999999993</v>
      </c>
      <c r="J5" s="5">
        <f>(D5-I5)/D5</f>
        <v>-7.4074074074073806E-2</v>
      </c>
      <c r="K5" s="5">
        <f t="shared" ref="K5:K38" si="3">ABS(J5)</f>
        <v>7.4074074074073806E-2</v>
      </c>
      <c r="R5" s="56">
        <v>2</v>
      </c>
      <c r="S5" s="56">
        <v>0.2</v>
      </c>
      <c r="T5" s="57">
        <f>K332</f>
        <v>16.824803915113417</v>
      </c>
    </row>
    <row r="6" spans="2:20" x14ac:dyDescent="0.25">
      <c r="B6" s="3" t="s">
        <v>11</v>
      </c>
      <c r="C6" s="3">
        <v>2022</v>
      </c>
      <c r="D6" s="3">
        <v>30</v>
      </c>
      <c r="E6" s="3">
        <f t="shared" ref="E6:F6" si="4">($N$2)*D6+($N$3)*E5</f>
        <v>29.675000000000001</v>
      </c>
      <c r="F6" s="3">
        <f t="shared" si="4"/>
        <v>29.355499999999999</v>
      </c>
      <c r="G6" s="3">
        <f t="shared" si="1"/>
        <v>29.994500000000002</v>
      </c>
      <c r="H6" s="3">
        <f t="shared" si="2"/>
        <v>2.875500000000013</v>
      </c>
      <c r="I6" s="3">
        <f t="shared" ref="I6:I9" si="5">G5+H5</f>
        <v>29.449999999999996</v>
      </c>
      <c r="J6" s="5">
        <f t="shared" ref="J6:J38" si="6">(D6-I6)/D6</f>
        <v>1.8333333333333476E-2</v>
      </c>
      <c r="K6" s="5">
        <f t="shared" si="3"/>
        <v>1.8333333333333476E-2</v>
      </c>
      <c r="R6" s="56">
        <v>3</v>
      </c>
      <c r="S6" s="56">
        <v>0.3</v>
      </c>
      <c r="T6" s="57">
        <f>K290</f>
        <v>15.545954379757609</v>
      </c>
    </row>
    <row r="7" spans="2:20" x14ac:dyDescent="0.25">
      <c r="B7" s="3" t="s">
        <v>12</v>
      </c>
      <c r="C7" s="3">
        <v>2022</v>
      </c>
      <c r="D7" s="3">
        <v>32</v>
      </c>
      <c r="E7" s="3">
        <f t="shared" ref="E7:F7" si="7">($N$2)*D7+($N$3)*E6</f>
        <v>31.767500000000002</v>
      </c>
      <c r="F7" s="3">
        <f t="shared" si="7"/>
        <v>31.526300000000003</v>
      </c>
      <c r="G7" s="3">
        <f t="shared" si="1"/>
        <v>32.008700000000005</v>
      </c>
      <c r="H7" s="3">
        <f t="shared" si="2"/>
        <v>2.1707999999999927</v>
      </c>
      <c r="I7" s="3">
        <f t="shared" si="5"/>
        <v>32.870000000000019</v>
      </c>
      <c r="J7" s="5">
        <f t="shared" si="6"/>
        <v>-2.7187500000000586E-2</v>
      </c>
      <c r="K7" s="5">
        <f t="shared" si="3"/>
        <v>2.7187500000000586E-2</v>
      </c>
      <c r="R7" s="56">
        <v>4</v>
      </c>
      <c r="S7" s="56">
        <v>0.4</v>
      </c>
      <c r="T7" s="57">
        <f>K248</f>
        <v>12.844303095248849</v>
      </c>
    </row>
    <row r="8" spans="2:20" x14ac:dyDescent="0.25">
      <c r="B8" s="3" t="s">
        <v>13</v>
      </c>
      <c r="C8" s="3">
        <v>2022</v>
      </c>
      <c r="D8" s="3">
        <v>33</v>
      </c>
      <c r="E8" s="3">
        <f t="shared" ref="E8:F8" si="8">($N$2)*D8+($N$3)*E7</f>
        <v>32.876750000000001</v>
      </c>
      <c r="F8" s="3">
        <f t="shared" si="8"/>
        <v>32.741705000000003</v>
      </c>
      <c r="G8" s="3">
        <f t="shared" si="1"/>
        <v>33.011794999999999</v>
      </c>
      <c r="H8" s="3">
        <f t="shared" si="2"/>
        <v>1.2154049999999827</v>
      </c>
      <c r="I8" s="3">
        <f t="shared" si="5"/>
        <v>34.179499999999997</v>
      </c>
      <c r="J8" s="5">
        <f t="shared" si="6"/>
        <v>-3.5742424242424159E-2</v>
      </c>
      <c r="K8" s="5">
        <f t="shared" si="3"/>
        <v>3.5742424242424159E-2</v>
      </c>
      <c r="R8" s="56">
        <v>5</v>
      </c>
      <c r="S8" s="56">
        <v>0.5</v>
      </c>
      <c r="T8" s="57">
        <f>K206</f>
        <v>10.234646902730246</v>
      </c>
    </row>
    <row r="9" spans="2:20" x14ac:dyDescent="0.25">
      <c r="B9" s="3" t="s">
        <v>2</v>
      </c>
      <c r="C9" s="3">
        <v>2022</v>
      </c>
      <c r="D9" s="3">
        <v>33</v>
      </c>
      <c r="E9" s="3">
        <f t="shared" ref="E9:F9" si="9">($N$2)*D9+($N$3)*E8</f>
        <v>32.987674999999996</v>
      </c>
      <c r="F9" s="3">
        <f t="shared" si="9"/>
        <v>32.963077999999996</v>
      </c>
      <c r="G9" s="3">
        <f t="shared" si="1"/>
        <v>33.012271999999996</v>
      </c>
      <c r="H9" s="3">
        <f t="shared" si="2"/>
        <v>0.22137299999999982</v>
      </c>
      <c r="I9" s="3">
        <f t="shared" si="5"/>
        <v>34.227199999999982</v>
      </c>
      <c r="J9" s="5">
        <f t="shared" si="6"/>
        <v>-3.7187878787878242E-2</v>
      </c>
      <c r="K9" s="5">
        <f t="shared" si="3"/>
        <v>3.7187878787878242E-2</v>
      </c>
      <c r="R9" s="56">
        <v>6</v>
      </c>
      <c r="S9" s="56">
        <v>0.6</v>
      </c>
      <c r="T9" s="57">
        <f>K164</f>
        <v>8.7564143317628442</v>
      </c>
    </row>
    <row r="10" spans="2:20" x14ac:dyDescent="0.25">
      <c r="B10" s="3" t="s">
        <v>4</v>
      </c>
      <c r="C10" s="3">
        <v>2022</v>
      </c>
      <c r="D10" s="3">
        <v>30</v>
      </c>
      <c r="E10" s="3">
        <f t="shared" ref="E10:F10" si="10">($N$2)*D10+($N$3)*E9</f>
        <v>30.2987675</v>
      </c>
      <c r="F10" s="3">
        <f t="shared" si="10"/>
        <v>30.565198550000002</v>
      </c>
      <c r="G10" s="3">
        <f t="shared" si="1"/>
        <v>30.032336449999999</v>
      </c>
      <c r="H10" s="3">
        <f t="shared" si="2"/>
        <v>-2.397879450000012</v>
      </c>
      <c r="I10" s="3">
        <f>G9+H9</f>
        <v>33.233644999999996</v>
      </c>
      <c r="J10" s="5">
        <f t="shared" si="6"/>
        <v>-0.10778816666666652</v>
      </c>
      <c r="K10" s="5">
        <f t="shared" si="3"/>
        <v>0.10778816666666652</v>
      </c>
      <c r="R10" s="56">
        <v>7</v>
      </c>
      <c r="S10" s="56">
        <v>0.7</v>
      </c>
      <c r="T10" s="57">
        <f>K122</f>
        <v>7.8978861806413461</v>
      </c>
    </row>
    <row r="11" spans="2:20" x14ac:dyDescent="0.25">
      <c r="B11" s="3" t="s">
        <v>3</v>
      </c>
      <c r="C11" s="3">
        <v>2022</v>
      </c>
      <c r="D11" s="3">
        <v>28</v>
      </c>
      <c r="E11" s="3">
        <f t="shared" ref="E11:F11" si="11">($N$2)*D11+($N$3)*E10</f>
        <v>28.229876749999999</v>
      </c>
      <c r="F11" s="3">
        <f t="shared" si="11"/>
        <v>28.46340893</v>
      </c>
      <c r="G11" s="3">
        <f t="shared" si="1"/>
        <v>27.996344569999998</v>
      </c>
      <c r="H11" s="3">
        <f t="shared" si="2"/>
        <v>-2.1017896200000088</v>
      </c>
      <c r="I11" s="3">
        <f t="shared" ref="I11:I38" si="12">G10+H10</f>
        <v>27.634456999999987</v>
      </c>
      <c r="J11" s="5">
        <f t="shared" si="6"/>
        <v>1.3055107142857609E-2</v>
      </c>
      <c r="K11" s="5">
        <f t="shared" si="3"/>
        <v>1.3055107142857609E-2</v>
      </c>
      <c r="R11" s="56">
        <v>8</v>
      </c>
      <c r="S11" s="56">
        <v>0.8</v>
      </c>
      <c r="T11" s="57">
        <f>K80</f>
        <v>7.7208770612165267</v>
      </c>
    </row>
    <row r="12" spans="2:20" x14ac:dyDescent="0.25">
      <c r="B12" s="3" t="s">
        <v>5</v>
      </c>
      <c r="C12" s="3">
        <v>2022</v>
      </c>
      <c r="D12" s="3">
        <v>26</v>
      </c>
      <c r="E12" s="3">
        <f t="shared" ref="E12:F12" si="13">($N$2)*D12+($N$3)*E11</f>
        <v>26.222987675000002</v>
      </c>
      <c r="F12" s="3">
        <f t="shared" si="13"/>
        <v>26.447029800500005</v>
      </c>
      <c r="G12" s="3">
        <f t="shared" si="1"/>
        <v>25.9989455495</v>
      </c>
      <c r="H12" s="3">
        <f t="shared" si="2"/>
        <v>-2.0163791295000202</v>
      </c>
      <c r="I12" s="3">
        <f t="shared" si="12"/>
        <v>25.894554949999989</v>
      </c>
      <c r="J12" s="5">
        <f t="shared" si="6"/>
        <v>4.0555788461542619E-3</v>
      </c>
      <c r="K12" s="5">
        <f t="shared" si="3"/>
        <v>4.0555788461542619E-3</v>
      </c>
      <c r="R12" s="56">
        <v>9</v>
      </c>
      <c r="S12" s="56">
        <v>0.9</v>
      </c>
      <c r="T12" s="57">
        <f>K39</f>
        <v>7.7381111451255808</v>
      </c>
    </row>
    <row r="13" spans="2:20" x14ac:dyDescent="0.25">
      <c r="B13" s="3" t="s">
        <v>6</v>
      </c>
      <c r="C13" s="3">
        <v>2022</v>
      </c>
      <c r="D13" s="3">
        <v>26</v>
      </c>
      <c r="E13" s="3">
        <f t="shared" ref="E13:F13" si="14">($N$2)*D13+($N$3)*E12</f>
        <v>26.022298767500004</v>
      </c>
      <c r="F13" s="3">
        <f t="shared" si="14"/>
        <v>26.064771870800008</v>
      </c>
      <c r="G13" s="3">
        <f t="shared" si="1"/>
        <v>25.9798256642</v>
      </c>
      <c r="H13" s="3">
        <f t="shared" si="2"/>
        <v>-0.3822579297000388</v>
      </c>
      <c r="I13" s="3">
        <f t="shared" si="12"/>
        <v>23.98256641999998</v>
      </c>
      <c r="J13" s="5">
        <f t="shared" si="6"/>
        <v>7.759359923077E-2</v>
      </c>
      <c r="K13" s="5">
        <f t="shared" si="3"/>
        <v>7.759359923077E-2</v>
      </c>
    </row>
    <row r="14" spans="2:20" x14ac:dyDescent="0.25">
      <c r="B14" s="3" t="s">
        <v>7</v>
      </c>
      <c r="C14" s="3">
        <v>2022</v>
      </c>
      <c r="D14" s="3">
        <v>22</v>
      </c>
      <c r="E14" s="3">
        <f t="shared" ref="E14:F14" si="15">($N$2)*D14+($N$3)*E13</f>
        <v>22.402229876750003</v>
      </c>
      <c r="F14" s="3">
        <f t="shared" si="15"/>
        <v>22.768484076155005</v>
      </c>
      <c r="G14" s="3">
        <f t="shared" si="1"/>
        <v>22.035975677345</v>
      </c>
      <c r="H14" s="3">
        <f t="shared" si="2"/>
        <v>-3.2962877946450213</v>
      </c>
      <c r="I14" s="3">
        <f t="shared" si="12"/>
        <v>25.597567734499961</v>
      </c>
      <c r="J14" s="5">
        <f t="shared" si="6"/>
        <v>-0.1635258061136346</v>
      </c>
      <c r="K14" s="5">
        <f t="shared" si="3"/>
        <v>0.1635258061136346</v>
      </c>
    </row>
    <row r="15" spans="2:20" x14ac:dyDescent="0.25">
      <c r="B15" s="3" t="s">
        <v>8</v>
      </c>
      <c r="C15" s="3">
        <v>2022</v>
      </c>
      <c r="D15" s="4">
        <v>20</v>
      </c>
      <c r="E15" s="3">
        <f t="shared" ref="E15:F15" si="16">($N$2)*D15+($N$3)*E14</f>
        <v>20.240222987675001</v>
      </c>
      <c r="F15" s="3">
        <f t="shared" si="16"/>
        <v>20.493049096523002</v>
      </c>
      <c r="G15" s="3">
        <f t="shared" si="1"/>
        <v>19.987396878826999</v>
      </c>
      <c r="H15" s="3">
        <f t="shared" si="2"/>
        <v>-2.2754349796320135</v>
      </c>
      <c r="I15" s="3">
        <f t="shared" si="12"/>
        <v>18.739687882699979</v>
      </c>
      <c r="J15" s="5">
        <f t="shared" si="6"/>
        <v>6.3015605865001059E-2</v>
      </c>
      <c r="K15" s="5">
        <f t="shared" si="3"/>
        <v>6.3015605865001059E-2</v>
      </c>
      <c r="M15" s="2"/>
      <c r="N15" s="2"/>
    </row>
    <row r="16" spans="2:20" x14ac:dyDescent="0.25">
      <c r="B16" s="3" t="s">
        <v>9</v>
      </c>
      <c r="C16" s="3">
        <v>2022</v>
      </c>
      <c r="D16" s="4">
        <v>25</v>
      </c>
      <c r="E16" s="3">
        <f t="shared" ref="E16:F16" si="17">($N$2)*D16+($N$3)*E15</f>
        <v>24.524022298767498</v>
      </c>
      <c r="F16" s="3">
        <f t="shared" si="17"/>
        <v>24.120924978543048</v>
      </c>
      <c r="G16" s="3">
        <f t="shared" si="1"/>
        <v>24.927119618991949</v>
      </c>
      <c r="H16" s="3">
        <f t="shared" si="2"/>
        <v>3.627875882020053</v>
      </c>
      <c r="I16" s="3">
        <f t="shared" si="12"/>
        <v>17.711961899194986</v>
      </c>
      <c r="J16" s="5">
        <f t="shared" si="6"/>
        <v>0.29152152403220055</v>
      </c>
      <c r="K16" s="5">
        <f t="shared" si="3"/>
        <v>0.29152152403220055</v>
      </c>
    </row>
    <row r="17" spans="2:11" x14ac:dyDescent="0.25">
      <c r="B17" s="3" t="s">
        <v>10</v>
      </c>
      <c r="C17" s="3">
        <v>2022</v>
      </c>
      <c r="D17" s="4">
        <v>29</v>
      </c>
      <c r="E17" s="3">
        <f t="shared" ref="E17:F17" si="18">($N$2)*D17+($N$3)*E16</f>
        <v>28.552402229876751</v>
      </c>
      <c r="F17" s="3">
        <f t="shared" si="18"/>
        <v>28.109254504743383</v>
      </c>
      <c r="G17" s="3">
        <f t="shared" si="1"/>
        <v>28.995549955010119</v>
      </c>
      <c r="H17" s="3">
        <f t="shared" si="2"/>
        <v>3.9883295262003138</v>
      </c>
      <c r="I17" s="3">
        <f t="shared" si="12"/>
        <v>28.554995501012002</v>
      </c>
      <c r="J17" s="5">
        <f t="shared" si="6"/>
        <v>1.5344982723724084E-2</v>
      </c>
      <c r="K17" s="5">
        <f t="shared" si="3"/>
        <v>1.5344982723724084E-2</v>
      </c>
    </row>
    <row r="18" spans="2:11" x14ac:dyDescent="0.25">
      <c r="B18" s="3" t="s">
        <v>11</v>
      </c>
      <c r="C18" s="3">
        <v>2022</v>
      </c>
      <c r="D18" s="4">
        <v>30</v>
      </c>
      <c r="E18" s="3">
        <f t="shared" ref="E18:F18" si="19">($N$2)*D18+($N$3)*E17</f>
        <v>29.855240222987675</v>
      </c>
      <c r="F18" s="3">
        <f t="shared" si="19"/>
        <v>29.680641651163249</v>
      </c>
      <c r="G18" s="3">
        <f t="shared" si="1"/>
        <v>30.0298387948121</v>
      </c>
      <c r="H18" s="3">
        <f t="shared" si="2"/>
        <v>1.5713871464198306</v>
      </c>
      <c r="I18" s="3">
        <f t="shared" si="12"/>
        <v>32.983879481210437</v>
      </c>
      <c r="J18" s="5">
        <f t="shared" si="6"/>
        <v>-9.9462649373681225E-2</v>
      </c>
      <c r="K18" s="5">
        <f t="shared" si="3"/>
        <v>9.9462649373681225E-2</v>
      </c>
    </row>
    <row r="19" spans="2:11" x14ac:dyDescent="0.25">
      <c r="B19" s="3" t="s">
        <v>12</v>
      </c>
      <c r="C19" s="3">
        <v>2022</v>
      </c>
      <c r="D19" s="4">
        <v>33</v>
      </c>
      <c r="E19" s="3">
        <f t="shared" ref="E19:F19" si="20">($N$2)*D19+($N$3)*E18</f>
        <v>32.685524022298765</v>
      </c>
      <c r="F19" s="3">
        <f t="shared" si="20"/>
        <v>32.385035785185217</v>
      </c>
      <c r="G19" s="3">
        <f t="shared" si="1"/>
        <v>32.986012259412313</v>
      </c>
      <c r="H19" s="3">
        <f t="shared" si="2"/>
        <v>2.704394134021932</v>
      </c>
      <c r="I19" s="3">
        <f t="shared" si="12"/>
        <v>31.601225941231931</v>
      </c>
      <c r="J19" s="5">
        <f t="shared" si="6"/>
        <v>4.2387092689941487E-2</v>
      </c>
      <c r="K19" s="5">
        <f t="shared" si="3"/>
        <v>4.2387092689941487E-2</v>
      </c>
    </row>
    <row r="20" spans="2:11" x14ac:dyDescent="0.25">
      <c r="B20" s="3" t="s">
        <v>13</v>
      </c>
      <c r="C20" s="3">
        <v>2022</v>
      </c>
      <c r="D20" s="4">
        <v>37</v>
      </c>
      <c r="E20" s="3">
        <f t="shared" ref="E20:F20" si="21">($N$2)*D20+($N$3)*E19</f>
        <v>36.568552402229884</v>
      </c>
      <c r="F20" s="3">
        <f t="shared" si="21"/>
        <v>36.15020074052542</v>
      </c>
      <c r="G20" s="3">
        <f t="shared" si="1"/>
        <v>36.986904063934347</v>
      </c>
      <c r="H20" s="3">
        <f t="shared" si="2"/>
        <v>3.7651649553401683</v>
      </c>
      <c r="I20" s="3">
        <f t="shared" si="12"/>
        <v>35.690406393434245</v>
      </c>
      <c r="J20" s="5">
        <f t="shared" si="6"/>
        <v>3.5394421799074469E-2</v>
      </c>
      <c r="K20" s="5">
        <f t="shared" si="3"/>
        <v>3.5394421799074469E-2</v>
      </c>
    </row>
    <row r="21" spans="2:11" x14ac:dyDescent="0.25">
      <c r="B21" s="3" t="s">
        <v>2</v>
      </c>
      <c r="C21" s="3">
        <v>2022</v>
      </c>
      <c r="D21" s="4">
        <v>39</v>
      </c>
      <c r="E21" s="3">
        <f t="shared" ref="E21:F21" si="22">($N$2)*D21+($N$3)*E20</f>
        <v>38.75685524022299</v>
      </c>
      <c r="F21" s="3">
        <f t="shared" si="22"/>
        <v>38.49618979025324</v>
      </c>
      <c r="G21" s="3">
        <f t="shared" si="1"/>
        <v>39.01752069019274</v>
      </c>
      <c r="H21" s="3">
        <f t="shared" si="2"/>
        <v>2.3459890497277485</v>
      </c>
      <c r="I21" s="3">
        <f t="shared" si="12"/>
        <v>40.752069019274515</v>
      </c>
      <c r="J21" s="5">
        <f t="shared" si="6"/>
        <v>-4.4924846648064488E-2</v>
      </c>
      <c r="K21" s="5">
        <f t="shared" si="3"/>
        <v>4.4924846648064488E-2</v>
      </c>
    </row>
    <row r="22" spans="2:11" x14ac:dyDescent="0.25">
      <c r="B22" s="3" t="s">
        <v>4</v>
      </c>
      <c r="C22" s="4">
        <v>2023</v>
      </c>
      <c r="D22" s="4">
        <v>35</v>
      </c>
      <c r="E22" s="3">
        <f t="shared" ref="E22:F22" si="23">($N$2)*D22+($N$3)*E21</f>
        <v>35.375685524022302</v>
      </c>
      <c r="F22" s="3">
        <f t="shared" si="23"/>
        <v>35.687735950645397</v>
      </c>
      <c r="G22" s="3">
        <f t="shared" si="1"/>
        <v>35.063635097399207</v>
      </c>
      <c r="H22" s="3">
        <f t="shared" si="2"/>
        <v>-2.8084538396078571</v>
      </c>
      <c r="I22" s="3">
        <f t="shared" si="12"/>
        <v>41.363509739920488</v>
      </c>
      <c r="J22" s="5">
        <f t="shared" si="6"/>
        <v>-0.18181456399772822</v>
      </c>
      <c r="K22" s="5">
        <f t="shared" si="3"/>
        <v>0.18181456399772822</v>
      </c>
    </row>
    <row r="23" spans="2:11" x14ac:dyDescent="0.25">
      <c r="B23" s="3" t="s">
        <v>3</v>
      </c>
      <c r="C23" s="4">
        <v>2023</v>
      </c>
      <c r="D23" s="4">
        <v>31</v>
      </c>
      <c r="E23" s="3">
        <f t="shared" ref="E23:F23" si="24">($N$2)*D23+($N$3)*E22</f>
        <v>31.437568552402233</v>
      </c>
      <c r="F23" s="3">
        <f t="shared" si="24"/>
        <v>31.862585292226548</v>
      </c>
      <c r="G23" s="3">
        <f t="shared" si="1"/>
        <v>31.012551812577918</v>
      </c>
      <c r="H23" s="3">
        <f t="shared" si="2"/>
        <v>-3.8251506584188348</v>
      </c>
      <c r="I23" s="3">
        <f t="shared" si="12"/>
        <v>32.255181257791349</v>
      </c>
      <c r="J23" s="5">
        <f t="shared" si="6"/>
        <v>-4.0489717993269336E-2</v>
      </c>
      <c r="K23" s="5">
        <f t="shared" si="3"/>
        <v>4.0489717993269336E-2</v>
      </c>
    </row>
    <row r="24" spans="2:11" x14ac:dyDescent="0.25">
      <c r="B24" s="3" t="s">
        <v>5</v>
      </c>
      <c r="C24" s="4">
        <v>2023</v>
      </c>
      <c r="D24" s="4">
        <v>29</v>
      </c>
      <c r="E24" s="3">
        <f t="shared" ref="E24:F24" si="25">($N$2)*D24+($N$3)*E23</f>
        <v>29.243756855240225</v>
      </c>
      <c r="F24" s="3">
        <f t="shared" si="25"/>
        <v>29.505639698938857</v>
      </c>
      <c r="G24" s="3">
        <f t="shared" si="1"/>
        <v>28.981874011541592</v>
      </c>
      <c r="H24" s="3">
        <f t="shared" si="2"/>
        <v>-2.3569455932876942</v>
      </c>
      <c r="I24" s="3">
        <f t="shared" si="12"/>
        <v>27.187401154159083</v>
      </c>
      <c r="J24" s="5">
        <f t="shared" si="6"/>
        <v>6.2503408477272995E-2</v>
      </c>
      <c r="K24" s="5">
        <f t="shared" si="3"/>
        <v>6.2503408477272995E-2</v>
      </c>
    </row>
    <row r="25" spans="2:11" x14ac:dyDescent="0.25">
      <c r="B25" s="3" t="s">
        <v>6</v>
      </c>
      <c r="C25" s="4">
        <v>2023</v>
      </c>
      <c r="D25" s="4">
        <v>29</v>
      </c>
      <c r="E25" s="3">
        <f t="shared" ref="E25:F25" si="26">($N$2)*D25+($N$3)*E24</f>
        <v>29.024375685524024</v>
      </c>
      <c r="F25" s="3">
        <f t="shared" si="26"/>
        <v>29.072502086865509</v>
      </c>
      <c r="G25" s="3">
        <f t="shared" si="1"/>
        <v>28.97624928418254</v>
      </c>
      <c r="H25" s="3">
        <f t="shared" si="2"/>
        <v>-0.43313761207335943</v>
      </c>
      <c r="I25" s="3">
        <f t="shared" si="12"/>
        <v>26.624928418253898</v>
      </c>
      <c r="J25" s="5">
        <f t="shared" si="6"/>
        <v>8.1899020060210423E-2</v>
      </c>
      <c r="K25" s="5">
        <f t="shared" si="3"/>
        <v>8.1899020060210423E-2</v>
      </c>
    </row>
    <row r="26" spans="2:11" x14ac:dyDescent="0.25">
      <c r="B26" s="3" t="s">
        <v>7</v>
      </c>
      <c r="C26" s="4">
        <v>2023</v>
      </c>
      <c r="D26" s="4">
        <v>27</v>
      </c>
      <c r="E26" s="3">
        <f t="shared" ref="E26:F26" si="27">($N$2)*D26+($N$3)*E25</f>
        <v>27.202437568552405</v>
      </c>
      <c r="F26" s="3">
        <f t="shared" si="27"/>
        <v>27.389444020383717</v>
      </c>
      <c r="G26" s="3">
        <f t="shared" si="1"/>
        <v>27.015431116721093</v>
      </c>
      <c r="H26" s="3">
        <f t="shared" si="2"/>
        <v>-1.6830580664818093</v>
      </c>
      <c r="I26" s="3">
        <f t="shared" si="12"/>
        <v>28.54311167210918</v>
      </c>
      <c r="J26" s="5">
        <f t="shared" si="6"/>
        <v>-5.7152284152191868E-2</v>
      </c>
      <c r="K26" s="5">
        <f t="shared" si="3"/>
        <v>5.7152284152191868E-2</v>
      </c>
    </row>
    <row r="27" spans="2:11" x14ac:dyDescent="0.25">
      <c r="B27" s="3" t="s">
        <v>8</v>
      </c>
      <c r="C27" s="4">
        <v>2023</v>
      </c>
      <c r="D27" s="4">
        <v>25</v>
      </c>
      <c r="E27" s="3">
        <f t="shared" ref="E27:F27" si="28">($N$2)*D27+($N$3)*E26</f>
        <v>25.22024375685524</v>
      </c>
      <c r="F27" s="3">
        <f t="shared" si="28"/>
        <v>25.437163783208089</v>
      </c>
      <c r="G27" s="3">
        <f t="shared" si="1"/>
        <v>25.003323730502391</v>
      </c>
      <c r="H27" s="3">
        <f t="shared" si="2"/>
        <v>-1.9522802371756391</v>
      </c>
      <c r="I27" s="3">
        <f t="shared" si="12"/>
        <v>25.332373050239283</v>
      </c>
      <c r="J27" s="5">
        <f t="shared" si="6"/>
        <v>-1.3294922009571337E-2</v>
      </c>
      <c r="K27" s="5">
        <f t="shared" si="3"/>
        <v>1.3294922009571337E-2</v>
      </c>
    </row>
    <row r="28" spans="2:11" x14ac:dyDescent="0.25">
      <c r="B28" s="3" t="s">
        <v>9</v>
      </c>
      <c r="C28" s="4">
        <v>2023</v>
      </c>
      <c r="D28" s="4">
        <v>28</v>
      </c>
      <c r="E28" s="3">
        <f t="shared" ref="E28:F28" si="29">($N$2)*D28+($N$3)*E27</f>
        <v>27.722024375685525</v>
      </c>
      <c r="F28" s="3">
        <f t="shared" si="29"/>
        <v>27.493538316437782</v>
      </c>
      <c r="G28" s="3">
        <f t="shared" si="1"/>
        <v>27.950510434933268</v>
      </c>
      <c r="H28" s="3">
        <f t="shared" si="2"/>
        <v>2.0563745332296861</v>
      </c>
      <c r="I28" s="3">
        <f t="shared" si="12"/>
        <v>23.051043493326752</v>
      </c>
      <c r="J28" s="5">
        <f t="shared" si="6"/>
        <v>0.17674844666690173</v>
      </c>
      <c r="K28" s="5">
        <f t="shared" si="3"/>
        <v>0.17674844666690173</v>
      </c>
    </row>
    <row r="29" spans="2:11" x14ac:dyDescent="0.25">
      <c r="B29" s="3" t="s">
        <v>10</v>
      </c>
      <c r="C29" s="4">
        <v>2023</v>
      </c>
      <c r="D29" s="4">
        <v>30</v>
      </c>
      <c r="E29" s="3">
        <f t="shared" ref="E29:F29" si="30">($N$2)*D29+($N$3)*E28</f>
        <v>29.772202437568552</v>
      </c>
      <c r="F29" s="3">
        <f t="shared" si="30"/>
        <v>29.544336025455475</v>
      </c>
      <c r="G29" s="3">
        <f t="shared" si="1"/>
        <v>30.000068849681629</v>
      </c>
      <c r="H29" s="3">
        <f t="shared" si="2"/>
        <v>2.0507977090176901</v>
      </c>
      <c r="I29" s="3">
        <f t="shared" si="12"/>
        <v>30.006884968162954</v>
      </c>
      <c r="J29" s="5">
        <f t="shared" si="6"/>
        <v>-2.2949893876512324E-4</v>
      </c>
      <c r="K29" s="5">
        <f t="shared" si="3"/>
        <v>2.2949893876512324E-4</v>
      </c>
    </row>
    <row r="30" spans="2:11" x14ac:dyDescent="0.25">
      <c r="B30" s="3" t="s">
        <v>11</v>
      </c>
      <c r="C30" s="4">
        <v>2023</v>
      </c>
      <c r="D30" s="4">
        <v>35</v>
      </c>
      <c r="E30" s="3">
        <f t="shared" ref="E30:F30" si="31">($N$2)*D30+($N$3)*E29</f>
        <v>34.477220243756854</v>
      </c>
      <c r="F30" s="3">
        <f t="shared" si="31"/>
        <v>33.983931821926717</v>
      </c>
      <c r="G30" s="3">
        <f t="shared" si="1"/>
        <v>34.970508665586991</v>
      </c>
      <c r="H30" s="3">
        <f t="shared" si="2"/>
        <v>4.4395957964712309</v>
      </c>
      <c r="I30" s="3">
        <f t="shared" si="12"/>
        <v>32.050866558699319</v>
      </c>
      <c r="J30" s="5">
        <f t="shared" si="6"/>
        <v>8.4260955465733742E-2</v>
      </c>
      <c r="K30" s="5">
        <f t="shared" si="3"/>
        <v>8.4260955465733742E-2</v>
      </c>
    </row>
    <row r="31" spans="2:11" x14ac:dyDescent="0.25">
      <c r="B31" s="3" t="s">
        <v>12</v>
      </c>
      <c r="C31" s="4">
        <v>2023</v>
      </c>
      <c r="D31" s="4">
        <v>39</v>
      </c>
      <c r="E31" s="3">
        <f t="shared" ref="E31:F31" si="32">($N$2)*D31+($N$3)*E30</f>
        <v>38.547722024375688</v>
      </c>
      <c r="F31" s="3">
        <f t="shared" si="32"/>
        <v>38.091343004130792</v>
      </c>
      <c r="G31" s="3">
        <f t="shared" si="1"/>
        <v>39.004101044620583</v>
      </c>
      <c r="H31" s="3">
        <f t="shared" si="2"/>
        <v>4.1074111822040607</v>
      </c>
      <c r="I31" s="3">
        <f t="shared" si="12"/>
        <v>39.410104462058221</v>
      </c>
      <c r="J31" s="5">
        <f t="shared" si="6"/>
        <v>-1.0515499027133885E-2</v>
      </c>
      <c r="K31" s="5">
        <f t="shared" si="3"/>
        <v>1.0515499027133885E-2</v>
      </c>
    </row>
    <row r="32" spans="2:11" x14ac:dyDescent="0.25">
      <c r="B32" s="3" t="s">
        <v>13</v>
      </c>
      <c r="C32" s="4">
        <v>2024</v>
      </c>
      <c r="D32" s="4">
        <v>48</v>
      </c>
      <c r="E32" s="3">
        <f t="shared" ref="E32:F32" si="33">($N$2)*D32+($N$3)*E31</f>
        <v>47.054772202437569</v>
      </c>
      <c r="F32" s="3">
        <f t="shared" si="33"/>
        <v>46.158429282606889</v>
      </c>
      <c r="G32" s="3">
        <f t="shared" si="1"/>
        <v>47.951115122268249</v>
      </c>
      <c r="H32" s="3">
        <f t="shared" si="2"/>
        <v>8.0670862784761184</v>
      </c>
      <c r="I32" s="3">
        <f t="shared" si="12"/>
        <v>43.111512226824644</v>
      </c>
      <c r="J32" s="5">
        <f t="shared" si="6"/>
        <v>0.10184349527448659</v>
      </c>
      <c r="K32" s="5">
        <f t="shared" si="3"/>
        <v>0.10184349527448659</v>
      </c>
    </row>
    <row r="33" spans="2:20" x14ac:dyDescent="0.25">
      <c r="B33" s="3" t="s">
        <v>2</v>
      </c>
      <c r="C33" s="4">
        <v>2024</v>
      </c>
      <c r="D33" s="4">
        <v>52</v>
      </c>
      <c r="E33" s="3">
        <f t="shared" ref="E33:F33" si="34">($N$2)*D33+($N$3)*E32</f>
        <v>51.505477220243762</v>
      </c>
      <c r="F33" s="3">
        <f t="shared" si="34"/>
        <v>50.970772426480075</v>
      </c>
      <c r="G33" s="3">
        <f t="shared" si="1"/>
        <v>52.040182014007449</v>
      </c>
      <c r="H33" s="3">
        <f t="shared" si="2"/>
        <v>4.8123431438731856</v>
      </c>
      <c r="I33" s="3">
        <f t="shared" si="12"/>
        <v>56.018201400744367</v>
      </c>
      <c r="J33" s="5">
        <f t="shared" si="6"/>
        <v>-7.7273103860468595E-2</v>
      </c>
      <c r="K33" s="5">
        <f t="shared" si="3"/>
        <v>7.7273103860468595E-2</v>
      </c>
    </row>
    <row r="34" spans="2:20" x14ac:dyDescent="0.25">
      <c r="B34" s="3" t="s">
        <v>4</v>
      </c>
      <c r="C34" s="4">
        <v>2024</v>
      </c>
      <c r="D34" s="4">
        <v>47</v>
      </c>
      <c r="E34" s="3">
        <f t="shared" ref="E34:F34" si="35">($N$2)*D34+($N$3)*E33</f>
        <v>47.450547722024382</v>
      </c>
      <c r="F34" s="3">
        <f t="shared" si="35"/>
        <v>47.80257019246995</v>
      </c>
      <c r="G34" s="3">
        <f t="shared" si="1"/>
        <v>47.098525251578813</v>
      </c>
      <c r="H34" s="3">
        <f t="shared" si="2"/>
        <v>-3.168202234010117</v>
      </c>
      <c r="I34" s="3">
        <f t="shared" si="12"/>
        <v>56.852525157880635</v>
      </c>
      <c r="J34" s="5">
        <f t="shared" si="6"/>
        <v>-0.20962819484852416</v>
      </c>
      <c r="K34" s="5">
        <f t="shared" si="3"/>
        <v>0.20962819484852416</v>
      </c>
    </row>
    <row r="35" spans="2:20" x14ac:dyDescent="0.25">
      <c r="B35" s="3" t="s">
        <v>3</v>
      </c>
      <c r="C35" s="4">
        <v>2024</v>
      </c>
      <c r="D35" s="4">
        <v>40</v>
      </c>
      <c r="E35" s="3">
        <f t="shared" ref="E35:F35" si="36">($N$2)*D35+($N$3)*E34</f>
        <v>40.745054772202437</v>
      </c>
      <c r="F35" s="3">
        <f t="shared" si="36"/>
        <v>41.45080631422919</v>
      </c>
      <c r="G35" s="3">
        <f t="shared" si="1"/>
        <v>40.039303230175683</v>
      </c>
      <c r="H35" s="3">
        <f t="shared" si="2"/>
        <v>-6.3517638782407815</v>
      </c>
      <c r="I35" s="3">
        <f t="shared" si="12"/>
        <v>43.930323017568696</v>
      </c>
      <c r="J35" s="5">
        <f t="shared" si="6"/>
        <v>-9.8258075439217413E-2</v>
      </c>
      <c r="K35" s="5">
        <f t="shared" si="3"/>
        <v>9.8258075439217413E-2</v>
      </c>
    </row>
    <row r="36" spans="2:20" x14ac:dyDescent="0.25">
      <c r="B36" s="3" t="s">
        <v>5</v>
      </c>
      <c r="C36" s="4">
        <v>2024</v>
      </c>
      <c r="D36" s="4">
        <v>36</v>
      </c>
      <c r="E36" s="3">
        <f t="shared" ref="E36:F36" si="37">($N$2)*D36+($N$3)*E35</f>
        <v>36.474505477220241</v>
      </c>
      <c r="F36" s="3">
        <f t="shared" si="37"/>
        <v>36.972135560921139</v>
      </c>
      <c r="G36" s="3">
        <f t="shared" si="1"/>
        <v>35.976875393519343</v>
      </c>
      <c r="H36" s="3">
        <f t="shared" si="2"/>
        <v>-4.4786707533080801</v>
      </c>
      <c r="I36" s="3">
        <f t="shared" si="12"/>
        <v>33.687539351934902</v>
      </c>
      <c r="J36" s="5">
        <f t="shared" si="6"/>
        <v>6.4235018001808281E-2</v>
      </c>
      <c r="K36" s="5">
        <f t="shared" si="3"/>
        <v>6.4235018001808281E-2</v>
      </c>
    </row>
    <row r="37" spans="2:20" x14ac:dyDescent="0.25">
      <c r="B37" s="3" t="s">
        <v>6</v>
      </c>
      <c r="C37" s="4">
        <v>2024</v>
      </c>
      <c r="D37" s="4">
        <v>35</v>
      </c>
      <c r="E37" s="3">
        <f t="shared" ref="E37:F37" si="38">($N$2)*D37+($N$3)*E36</f>
        <v>35.147450547722023</v>
      </c>
      <c r="F37" s="3">
        <f t="shared" si="38"/>
        <v>35.329919049041933</v>
      </c>
      <c r="G37" s="3">
        <f t="shared" si="1"/>
        <v>34.964982046402113</v>
      </c>
      <c r="H37" s="3">
        <f t="shared" si="2"/>
        <v>-1.6422165118791909</v>
      </c>
      <c r="I37" s="3">
        <f t="shared" si="12"/>
        <v>31.498204640211263</v>
      </c>
      <c r="J37" s="5">
        <f t="shared" si="6"/>
        <v>0.10005129599396391</v>
      </c>
      <c r="K37" s="5">
        <f t="shared" si="3"/>
        <v>0.10005129599396391</v>
      </c>
    </row>
    <row r="38" spans="2:20" x14ac:dyDescent="0.25">
      <c r="B38" s="3" t="s">
        <v>7</v>
      </c>
      <c r="C38" s="4">
        <v>2024</v>
      </c>
      <c r="D38" s="4">
        <v>31</v>
      </c>
      <c r="E38" s="3">
        <f t="shared" ref="E38:F38" si="39">($N$2)*D38+($N$3)*E37</f>
        <v>31.414745054772204</v>
      </c>
      <c r="F38" s="3">
        <f t="shared" si="39"/>
        <v>31.806262454199178</v>
      </c>
      <c r="G38" s="3">
        <f t="shared" si="1"/>
        <v>31.023227655345231</v>
      </c>
      <c r="H38" s="3">
        <f t="shared" si="2"/>
        <v>-3.5236565948427625</v>
      </c>
      <c r="I38" s="3">
        <f t="shared" si="12"/>
        <v>33.322765534522922</v>
      </c>
      <c r="J38" s="5">
        <f t="shared" si="6"/>
        <v>-7.492792046848136E-2</v>
      </c>
      <c r="K38" s="5">
        <f t="shared" si="3"/>
        <v>7.492792046848136E-2</v>
      </c>
    </row>
    <row r="39" spans="2:20" x14ac:dyDescent="0.25">
      <c r="B39" s="6" t="s">
        <v>8</v>
      </c>
      <c r="C39" s="7">
        <v>2024</v>
      </c>
      <c r="D39" s="6"/>
      <c r="E39" s="8"/>
      <c r="F39" s="8"/>
      <c r="G39" s="8"/>
      <c r="H39" s="8"/>
      <c r="I39" s="9">
        <f>G38+H38</f>
        <v>27.499571060502468</v>
      </c>
      <c r="J39" s="6" t="s">
        <v>21</v>
      </c>
      <c r="K39" s="10">
        <f>100/36*SUM(K4:K38)</f>
        <v>7.7381111451255808</v>
      </c>
    </row>
    <row r="41" spans="2:20" ht="15.75" x14ac:dyDescent="0.25">
      <c r="S41" s="13" t="s">
        <v>23</v>
      </c>
      <c r="T41" s="13" t="s">
        <v>24</v>
      </c>
    </row>
    <row r="42" spans="2:20" ht="15.75" x14ac:dyDescent="0.25">
      <c r="S42" s="14" t="s">
        <v>32</v>
      </c>
      <c r="T42" s="14" t="s">
        <v>25</v>
      </c>
    </row>
    <row r="43" spans="2:20" ht="15.75" x14ac:dyDescent="0.25">
      <c r="B43" s="11" t="s">
        <v>0</v>
      </c>
      <c r="C43" s="11" t="s">
        <v>1</v>
      </c>
      <c r="D43" s="11" t="s">
        <v>22</v>
      </c>
      <c r="E43" s="11" t="s">
        <v>14</v>
      </c>
      <c r="F43" s="11" t="s">
        <v>15</v>
      </c>
      <c r="G43" s="11" t="s">
        <v>16</v>
      </c>
      <c r="H43" s="11" t="s">
        <v>17</v>
      </c>
      <c r="I43" s="11" t="s">
        <v>18</v>
      </c>
      <c r="J43" s="11" t="s">
        <v>19</v>
      </c>
      <c r="K43" s="11" t="s">
        <v>20</v>
      </c>
      <c r="N43" s="12">
        <v>0.8</v>
      </c>
      <c r="S43" s="14" t="s">
        <v>26</v>
      </c>
      <c r="T43" s="14" t="s">
        <v>27</v>
      </c>
    </row>
    <row r="44" spans="2:20" ht="15.75" x14ac:dyDescent="0.25">
      <c r="B44" s="3" t="s">
        <v>8</v>
      </c>
      <c r="C44" s="3">
        <v>2021</v>
      </c>
      <c r="D44" s="3">
        <v>20</v>
      </c>
      <c r="E44" s="3">
        <v>20</v>
      </c>
      <c r="F44" s="3">
        <v>20</v>
      </c>
      <c r="G44" s="3">
        <v>20</v>
      </c>
      <c r="H44" s="3">
        <v>0</v>
      </c>
      <c r="I44" s="3"/>
      <c r="J44" s="4"/>
      <c r="K44" s="4"/>
      <c r="N44" s="12">
        <v>0.2</v>
      </c>
      <c r="S44" s="14" t="s">
        <v>28</v>
      </c>
      <c r="T44" s="14" t="s">
        <v>29</v>
      </c>
    </row>
    <row r="45" spans="2:20" ht="15.75" x14ac:dyDescent="0.25">
      <c r="B45" s="3" t="s">
        <v>9</v>
      </c>
      <c r="C45" s="3">
        <v>2021</v>
      </c>
      <c r="D45" s="3">
        <v>25</v>
      </c>
      <c r="E45" s="3">
        <f>($N$43)*D45+($N$44)*E44</f>
        <v>24</v>
      </c>
      <c r="F45" s="3">
        <f>($N$43)*E45+($N$44)*F44</f>
        <v>23.200000000000003</v>
      </c>
      <c r="G45" s="3">
        <f>2*(E45)-(F45)</f>
        <v>24.799999999999997</v>
      </c>
      <c r="H45" s="3">
        <f>$N$43/$N$44*(E45-F45)</f>
        <v>3.1999999999999886</v>
      </c>
      <c r="I45" s="3">
        <f>G44+H44</f>
        <v>20</v>
      </c>
      <c r="J45" s="5">
        <f>(D45-I45)/D45</f>
        <v>0.2</v>
      </c>
      <c r="K45" s="5">
        <f>ABS(J45)</f>
        <v>0.2</v>
      </c>
      <c r="S45" s="14" t="s">
        <v>30</v>
      </c>
      <c r="T45" s="14" t="s">
        <v>31</v>
      </c>
    </row>
    <row r="46" spans="2:20" x14ac:dyDescent="0.25">
      <c r="B46" s="3" t="s">
        <v>10</v>
      </c>
      <c r="C46" s="3">
        <v>2021</v>
      </c>
      <c r="D46" s="3">
        <v>27</v>
      </c>
      <c r="E46" s="3">
        <f t="shared" ref="E46:E79" si="40">($N$43)*D46+($N$44)*E45</f>
        <v>26.400000000000002</v>
      </c>
      <c r="F46" s="3">
        <f t="shared" ref="F46:F79" si="41">($N$43)*E46+($N$44)*F45</f>
        <v>25.760000000000005</v>
      </c>
      <c r="G46" s="3">
        <f t="shared" ref="G46:G79" si="42">2*(E46)-(F46)</f>
        <v>27.04</v>
      </c>
      <c r="H46" s="3">
        <f t="shared" ref="H46:H79" si="43">$N$43/$N$44*(E46-F46)</f>
        <v>2.5599999999999881</v>
      </c>
      <c r="I46" s="3">
        <f>G45+H45</f>
        <v>27.999999999999986</v>
      </c>
      <c r="J46" s="5">
        <f>(D46-I46)/D46</f>
        <v>-3.7037037037036508E-2</v>
      </c>
      <c r="K46" s="5">
        <f t="shared" ref="K46:K79" si="44">ABS(J46)</f>
        <v>3.7037037037036508E-2</v>
      </c>
      <c r="N46" t="s">
        <v>33</v>
      </c>
    </row>
    <row r="47" spans="2:20" x14ac:dyDescent="0.25">
      <c r="B47" s="3" t="s">
        <v>11</v>
      </c>
      <c r="C47" s="3">
        <v>2021</v>
      </c>
      <c r="D47" s="3">
        <v>30</v>
      </c>
      <c r="E47" s="3">
        <f t="shared" si="40"/>
        <v>29.28</v>
      </c>
      <c r="F47" s="3">
        <f t="shared" si="41"/>
        <v>28.576000000000004</v>
      </c>
      <c r="G47" s="3">
        <f t="shared" si="42"/>
        <v>29.983999999999998</v>
      </c>
      <c r="H47" s="3">
        <f t="shared" si="43"/>
        <v>2.8159999999999883</v>
      </c>
      <c r="I47" s="3">
        <f t="shared" ref="I47:I50" si="45">G46+H46</f>
        <v>29.599999999999987</v>
      </c>
      <c r="J47" s="5">
        <f t="shared" ref="J47:J79" si="46">(D47-I47)/D47</f>
        <v>1.3333333333333759E-2</v>
      </c>
      <c r="K47" s="5">
        <f t="shared" si="44"/>
        <v>1.3333333333333759E-2</v>
      </c>
    </row>
    <row r="48" spans="2:20" x14ac:dyDescent="0.25">
      <c r="B48" s="3" t="s">
        <v>12</v>
      </c>
      <c r="C48" s="3">
        <v>2021</v>
      </c>
      <c r="D48" s="3">
        <v>32</v>
      </c>
      <c r="E48" s="3">
        <f t="shared" si="40"/>
        <v>31.456000000000003</v>
      </c>
      <c r="F48" s="3">
        <f t="shared" si="41"/>
        <v>30.880000000000003</v>
      </c>
      <c r="G48" s="3">
        <f t="shared" si="42"/>
        <v>32.032000000000004</v>
      </c>
      <c r="H48" s="3">
        <f t="shared" si="43"/>
        <v>2.304000000000002</v>
      </c>
      <c r="I48" s="3">
        <f t="shared" si="45"/>
        <v>32.799999999999983</v>
      </c>
      <c r="J48" s="5">
        <f t="shared" si="46"/>
        <v>-2.4999999999999467E-2</v>
      </c>
      <c r="K48" s="5">
        <f t="shared" si="44"/>
        <v>2.4999999999999467E-2</v>
      </c>
    </row>
    <row r="49" spans="2:14" x14ac:dyDescent="0.25">
      <c r="B49" s="3" t="s">
        <v>13</v>
      </c>
      <c r="C49" s="3">
        <v>2021</v>
      </c>
      <c r="D49" s="3">
        <v>33</v>
      </c>
      <c r="E49" s="3">
        <f t="shared" si="40"/>
        <v>32.691200000000002</v>
      </c>
      <c r="F49" s="3">
        <f t="shared" si="41"/>
        <v>32.328960000000002</v>
      </c>
      <c r="G49" s="3">
        <f t="shared" si="42"/>
        <v>33.053440000000002</v>
      </c>
      <c r="H49" s="3">
        <f t="shared" si="43"/>
        <v>1.4489599999999996</v>
      </c>
      <c r="I49" s="3">
        <f t="shared" si="45"/>
        <v>34.336000000000006</v>
      </c>
      <c r="J49" s="5">
        <f t="shared" si="46"/>
        <v>-4.0484848484848658E-2</v>
      </c>
      <c r="K49" s="5">
        <f t="shared" si="44"/>
        <v>4.0484848484848658E-2</v>
      </c>
    </row>
    <row r="50" spans="2:14" x14ac:dyDescent="0.25">
      <c r="B50" s="3" t="s">
        <v>2</v>
      </c>
      <c r="C50" s="3">
        <v>2021</v>
      </c>
      <c r="D50" s="3">
        <v>33</v>
      </c>
      <c r="E50" s="3">
        <f t="shared" si="40"/>
        <v>32.93824</v>
      </c>
      <c r="F50" s="3">
        <f t="shared" si="41"/>
        <v>32.816383999999999</v>
      </c>
      <c r="G50" s="3">
        <f t="shared" si="42"/>
        <v>33.060096000000001</v>
      </c>
      <c r="H50" s="3">
        <f t="shared" si="43"/>
        <v>0.4874240000000043</v>
      </c>
      <c r="I50" s="3">
        <f t="shared" si="45"/>
        <v>34.502400000000002</v>
      </c>
      <c r="J50" s="5">
        <f t="shared" si="46"/>
        <v>-4.552727272727277E-2</v>
      </c>
      <c r="K50" s="5">
        <f t="shared" si="44"/>
        <v>4.552727272727277E-2</v>
      </c>
    </row>
    <row r="51" spans="2:14" x14ac:dyDescent="0.25">
      <c r="B51" s="3" t="s">
        <v>4</v>
      </c>
      <c r="C51" s="3">
        <v>2022</v>
      </c>
      <c r="D51" s="3">
        <v>30</v>
      </c>
      <c r="E51" s="3">
        <f t="shared" si="40"/>
        <v>30.587648000000002</v>
      </c>
      <c r="F51" s="3">
        <f t="shared" si="41"/>
        <v>31.033395200000005</v>
      </c>
      <c r="G51" s="3">
        <f t="shared" si="42"/>
        <v>30.141900799999998</v>
      </c>
      <c r="H51" s="3">
        <f t="shared" si="43"/>
        <v>-1.7829888000000125</v>
      </c>
      <c r="I51" s="3">
        <f>G50+H50</f>
        <v>33.547520000000006</v>
      </c>
      <c r="J51" s="5">
        <f t="shared" si="46"/>
        <v>-0.11825066666666686</v>
      </c>
      <c r="K51" s="5">
        <f t="shared" si="44"/>
        <v>0.11825066666666686</v>
      </c>
    </row>
    <row r="52" spans="2:14" x14ac:dyDescent="0.25">
      <c r="B52" s="3" t="s">
        <v>3</v>
      </c>
      <c r="C52" s="3">
        <v>2022</v>
      </c>
      <c r="D52" s="3">
        <v>28</v>
      </c>
      <c r="E52" s="3">
        <f t="shared" si="40"/>
        <v>28.517529600000003</v>
      </c>
      <c r="F52" s="3">
        <f t="shared" si="41"/>
        <v>29.020702720000006</v>
      </c>
      <c r="G52" s="3">
        <f t="shared" si="42"/>
        <v>28.01435648</v>
      </c>
      <c r="H52" s="3">
        <f t="shared" si="43"/>
        <v>-2.0126924800000126</v>
      </c>
      <c r="I52" s="3">
        <f t="shared" ref="I52:I79" si="47">G51+H51</f>
        <v>28.358911999999986</v>
      </c>
      <c r="J52" s="5">
        <f t="shared" si="46"/>
        <v>-1.2818285714285211E-2</v>
      </c>
      <c r="K52" s="5">
        <f t="shared" si="44"/>
        <v>1.2818285714285211E-2</v>
      </c>
    </row>
    <row r="53" spans="2:14" x14ac:dyDescent="0.25">
      <c r="B53" s="3" t="s">
        <v>5</v>
      </c>
      <c r="C53" s="3">
        <v>2022</v>
      </c>
      <c r="D53" s="3">
        <v>26</v>
      </c>
      <c r="E53" s="3">
        <f t="shared" si="40"/>
        <v>26.503505920000002</v>
      </c>
      <c r="F53" s="3">
        <f t="shared" si="41"/>
        <v>27.006945280000007</v>
      </c>
      <c r="G53" s="3">
        <f t="shared" si="42"/>
        <v>26.000066559999997</v>
      </c>
      <c r="H53" s="3">
        <f t="shared" si="43"/>
        <v>-2.0137574400000204</v>
      </c>
      <c r="I53" s="3">
        <f t="shared" si="47"/>
        <v>26.001663999999987</v>
      </c>
      <c r="J53" s="5">
        <f t="shared" si="46"/>
        <v>-6.3999999999517432E-5</v>
      </c>
      <c r="K53" s="5">
        <f t="shared" si="44"/>
        <v>6.3999999999517432E-5</v>
      </c>
    </row>
    <row r="54" spans="2:14" x14ac:dyDescent="0.25">
      <c r="B54" s="3" t="s">
        <v>6</v>
      </c>
      <c r="C54" s="3">
        <v>2022</v>
      </c>
      <c r="D54" s="3">
        <v>26</v>
      </c>
      <c r="E54" s="3">
        <f t="shared" si="40"/>
        <v>26.100701184000002</v>
      </c>
      <c r="F54" s="3">
        <f t="shared" si="41"/>
        <v>26.281950003200006</v>
      </c>
      <c r="G54" s="3">
        <f t="shared" si="42"/>
        <v>25.919452364799998</v>
      </c>
      <c r="H54" s="3">
        <f t="shared" si="43"/>
        <v>-0.72499527680001563</v>
      </c>
      <c r="I54" s="3">
        <f t="shared" si="47"/>
        <v>23.986309119999977</v>
      </c>
      <c r="J54" s="5">
        <f t="shared" si="46"/>
        <v>7.7449649230770135E-2</v>
      </c>
      <c r="K54" s="5">
        <f t="shared" si="44"/>
        <v>7.7449649230770135E-2</v>
      </c>
    </row>
    <row r="55" spans="2:14" x14ac:dyDescent="0.25">
      <c r="B55" s="3" t="s">
        <v>7</v>
      </c>
      <c r="C55" s="3">
        <v>2022</v>
      </c>
      <c r="D55" s="3">
        <v>22</v>
      </c>
      <c r="E55" s="3">
        <f t="shared" si="40"/>
        <v>22.8201402368</v>
      </c>
      <c r="F55" s="3">
        <f t="shared" si="41"/>
        <v>23.512502190079999</v>
      </c>
      <c r="G55" s="3">
        <f t="shared" si="42"/>
        <v>22.127778283520001</v>
      </c>
      <c r="H55" s="3">
        <f t="shared" si="43"/>
        <v>-2.7694478131199958</v>
      </c>
      <c r="I55" s="3">
        <f t="shared" si="47"/>
        <v>25.194457087999982</v>
      </c>
      <c r="J55" s="5">
        <f t="shared" si="46"/>
        <v>-0.1452025949090901</v>
      </c>
      <c r="K55" s="5">
        <f t="shared" si="44"/>
        <v>0.1452025949090901</v>
      </c>
    </row>
    <row r="56" spans="2:14" x14ac:dyDescent="0.25">
      <c r="B56" s="3" t="s">
        <v>8</v>
      </c>
      <c r="C56" s="3">
        <v>2022</v>
      </c>
      <c r="D56" s="4">
        <v>20</v>
      </c>
      <c r="E56" s="3">
        <f t="shared" si="40"/>
        <v>20.564028047360001</v>
      </c>
      <c r="F56" s="3">
        <f t="shared" si="41"/>
        <v>21.153722875904002</v>
      </c>
      <c r="G56" s="3">
        <f t="shared" si="42"/>
        <v>19.974333218816</v>
      </c>
      <c r="H56" s="3">
        <f t="shared" si="43"/>
        <v>-2.3587793141760045</v>
      </c>
      <c r="I56" s="3">
        <f t="shared" si="47"/>
        <v>19.358330470400006</v>
      </c>
      <c r="J56" s="5">
        <f t="shared" si="46"/>
        <v>3.208347647999972E-2</v>
      </c>
      <c r="K56" s="5">
        <f t="shared" si="44"/>
        <v>3.208347647999972E-2</v>
      </c>
      <c r="M56" s="2"/>
      <c r="N56" s="2"/>
    </row>
    <row r="57" spans="2:14" x14ac:dyDescent="0.25">
      <c r="B57" s="3" t="s">
        <v>9</v>
      </c>
      <c r="C57" s="3">
        <v>2022</v>
      </c>
      <c r="D57" s="4">
        <v>25</v>
      </c>
      <c r="E57" s="3">
        <f t="shared" si="40"/>
        <v>24.112805609472002</v>
      </c>
      <c r="F57" s="3">
        <f t="shared" si="41"/>
        <v>23.520989062758403</v>
      </c>
      <c r="G57" s="3">
        <f t="shared" si="42"/>
        <v>24.7046221561856</v>
      </c>
      <c r="H57" s="3">
        <f t="shared" si="43"/>
        <v>2.367266186854394</v>
      </c>
      <c r="I57" s="3">
        <f t="shared" si="47"/>
        <v>17.615553904639995</v>
      </c>
      <c r="J57" s="5">
        <f t="shared" si="46"/>
        <v>0.29537784381440019</v>
      </c>
      <c r="K57" s="5">
        <f t="shared" si="44"/>
        <v>0.29537784381440019</v>
      </c>
    </row>
    <row r="58" spans="2:14" x14ac:dyDescent="0.25">
      <c r="B58" s="3" t="s">
        <v>10</v>
      </c>
      <c r="C58" s="3">
        <v>2022</v>
      </c>
      <c r="D58" s="4">
        <v>29</v>
      </c>
      <c r="E58" s="3">
        <f t="shared" si="40"/>
        <v>28.022561121894405</v>
      </c>
      <c r="F58" s="3">
        <f t="shared" si="41"/>
        <v>27.122246710067206</v>
      </c>
      <c r="G58" s="3">
        <f t="shared" si="42"/>
        <v>28.922875533721605</v>
      </c>
      <c r="H58" s="3">
        <f t="shared" si="43"/>
        <v>3.6012576473087989</v>
      </c>
      <c r="I58" s="3">
        <f t="shared" si="47"/>
        <v>27.071888343039994</v>
      </c>
      <c r="J58" s="5">
        <f t="shared" si="46"/>
        <v>6.6486608860689855E-2</v>
      </c>
      <c r="K58" s="5">
        <f t="shared" si="44"/>
        <v>6.6486608860689855E-2</v>
      </c>
    </row>
    <row r="59" spans="2:14" x14ac:dyDescent="0.25">
      <c r="B59" s="3" t="s">
        <v>11</v>
      </c>
      <c r="C59" s="3">
        <v>2022</v>
      </c>
      <c r="D59" s="4">
        <v>30</v>
      </c>
      <c r="E59" s="3">
        <f t="shared" si="40"/>
        <v>29.60451222437888</v>
      </c>
      <c r="F59" s="3">
        <f t="shared" si="41"/>
        <v>29.108059121516547</v>
      </c>
      <c r="G59" s="3">
        <f t="shared" si="42"/>
        <v>30.100965327241212</v>
      </c>
      <c r="H59" s="3">
        <f t="shared" si="43"/>
        <v>1.9858124114493307</v>
      </c>
      <c r="I59" s="3">
        <f t="shared" si="47"/>
        <v>32.524133181030408</v>
      </c>
      <c r="J59" s="5">
        <f t="shared" si="46"/>
        <v>-8.413777270101358E-2</v>
      </c>
      <c r="K59" s="5">
        <f t="shared" si="44"/>
        <v>8.413777270101358E-2</v>
      </c>
    </row>
    <row r="60" spans="2:14" x14ac:dyDescent="0.25">
      <c r="B60" s="3" t="s">
        <v>12</v>
      </c>
      <c r="C60" s="3">
        <v>2022</v>
      </c>
      <c r="D60" s="4">
        <v>33</v>
      </c>
      <c r="E60" s="3">
        <f t="shared" si="40"/>
        <v>32.320902444875777</v>
      </c>
      <c r="F60" s="3">
        <f t="shared" si="41"/>
        <v>31.678333780203936</v>
      </c>
      <c r="G60" s="3">
        <f t="shared" si="42"/>
        <v>32.963471109547619</v>
      </c>
      <c r="H60" s="3">
        <f t="shared" si="43"/>
        <v>2.5702746586873673</v>
      </c>
      <c r="I60" s="3">
        <f t="shared" si="47"/>
        <v>32.086777738690543</v>
      </c>
      <c r="J60" s="5">
        <f t="shared" si="46"/>
        <v>2.767340185786233E-2</v>
      </c>
      <c r="K60" s="5">
        <f t="shared" si="44"/>
        <v>2.767340185786233E-2</v>
      </c>
    </row>
    <row r="61" spans="2:14" x14ac:dyDescent="0.25">
      <c r="B61" s="3" t="s">
        <v>13</v>
      </c>
      <c r="C61" s="3">
        <v>2022</v>
      </c>
      <c r="D61" s="4">
        <v>37</v>
      </c>
      <c r="E61" s="3">
        <f t="shared" si="40"/>
        <v>36.064180488975154</v>
      </c>
      <c r="F61" s="3">
        <f t="shared" si="41"/>
        <v>35.187011147220915</v>
      </c>
      <c r="G61" s="3">
        <f t="shared" si="42"/>
        <v>36.941349830729393</v>
      </c>
      <c r="H61" s="3">
        <f t="shared" si="43"/>
        <v>3.5086773670169578</v>
      </c>
      <c r="I61" s="3">
        <f t="shared" si="47"/>
        <v>35.533745768234986</v>
      </c>
      <c r="J61" s="5">
        <f t="shared" si="46"/>
        <v>3.9628492750405774E-2</v>
      </c>
      <c r="K61" s="5">
        <f t="shared" si="44"/>
        <v>3.9628492750405774E-2</v>
      </c>
    </row>
    <row r="62" spans="2:14" x14ac:dyDescent="0.25">
      <c r="B62" s="3" t="s">
        <v>2</v>
      </c>
      <c r="C62" s="3">
        <v>2022</v>
      </c>
      <c r="D62" s="4">
        <v>39</v>
      </c>
      <c r="E62" s="3">
        <f t="shared" si="40"/>
        <v>38.412836097795036</v>
      </c>
      <c r="F62" s="3">
        <f t="shared" si="41"/>
        <v>37.767671107680215</v>
      </c>
      <c r="G62" s="3">
        <f t="shared" si="42"/>
        <v>39.058001087909858</v>
      </c>
      <c r="H62" s="3">
        <f t="shared" si="43"/>
        <v>2.5806599604592861</v>
      </c>
      <c r="I62" s="3">
        <f t="shared" si="47"/>
        <v>40.450027197746351</v>
      </c>
      <c r="J62" s="5">
        <f t="shared" si="46"/>
        <v>-3.718018455759875E-2</v>
      </c>
      <c r="K62" s="5">
        <f t="shared" si="44"/>
        <v>3.718018455759875E-2</v>
      </c>
    </row>
    <row r="63" spans="2:14" x14ac:dyDescent="0.25">
      <c r="B63" s="3" t="s">
        <v>4</v>
      </c>
      <c r="C63" s="4">
        <v>2023</v>
      </c>
      <c r="D63" s="4">
        <v>35</v>
      </c>
      <c r="E63" s="3">
        <f t="shared" si="40"/>
        <v>35.682567219559004</v>
      </c>
      <c r="F63" s="3">
        <f t="shared" si="41"/>
        <v>36.099587997183249</v>
      </c>
      <c r="G63" s="3">
        <f t="shared" si="42"/>
        <v>35.26554644193476</v>
      </c>
      <c r="H63" s="3">
        <f t="shared" si="43"/>
        <v>-1.6680831104969798</v>
      </c>
      <c r="I63" s="3">
        <f t="shared" si="47"/>
        <v>41.638661048369144</v>
      </c>
      <c r="J63" s="5">
        <f t="shared" si="46"/>
        <v>-0.18967602995340413</v>
      </c>
      <c r="K63" s="5">
        <f t="shared" si="44"/>
        <v>0.18967602995340413</v>
      </c>
    </row>
    <row r="64" spans="2:14" x14ac:dyDescent="0.25">
      <c r="B64" s="3" t="s">
        <v>3</v>
      </c>
      <c r="C64" s="4">
        <v>2023</v>
      </c>
      <c r="D64" s="4">
        <v>31</v>
      </c>
      <c r="E64" s="3">
        <f t="shared" si="40"/>
        <v>31.936513443911803</v>
      </c>
      <c r="F64" s="3">
        <f t="shared" si="41"/>
        <v>32.769128354566092</v>
      </c>
      <c r="G64" s="3">
        <f t="shared" si="42"/>
        <v>31.103898533257514</v>
      </c>
      <c r="H64" s="3">
        <f t="shared" si="43"/>
        <v>-3.3304596426171571</v>
      </c>
      <c r="I64" s="3">
        <f t="shared" si="47"/>
        <v>33.59746333143778</v>
      </c>
      <c r="J64" s="5">
        <f t="shared" si="46"/>
        <v>-8.3789139723799352E-2</v>
      </c>
      <c r="K64" s="5">
        <f t="shared" si="44"/>
        <v>8.3789139723799352E-2</v>
      </c>
    </row>
    <row r="65" spans="2:11" x14ac:dyDescent="0.25">
      <c r="B65" s="3" t="s">
        <v>5</v>
      </c>
      <c r="C65" s="4">
        <v>2023</v>
      </c>
      <c r="D65" s="4">
        <v>29</v>
      </c>
      <c r="E65" s="3">
        <f t="shared" si="40"/>
        <v>29.587302688782366</v>
      </c>
      <c r="F65" s="3">
        <f t="shared" si="41"/>
        <v>30.223667821939113</v>
      </c>
      <c r="G65" s="3">
        <f t="shared" si="42"/>
        <v>28.950937555625618</v>
      </c>
      <c r="H65" s="3">
        <f t="shared" si="43"/>
        <v>-2.5454605326269899</v>
      </c>
      <c r="I65" s="3">
        <f t="shared" si="47"/>
        <v>27.773438890640357</v>
      </c>
      <c r="J65" s="5">
        <f t="shared" si="46"/>
        <v>4.2295210667573906E-2</v>
      </c>
      <c r="K65" s="5">
        <f t="shared" si="44"/>
        <v>4.2295210667573906E-2</v>
      </c>
    </row>
    <row r="66" spans="2:11" x14ac:dyDescent="0.25">
      <c r="B66" s="3" t="s">
        <v>6</v>
      </c>
      <c r="C66" s="4">
        <v>2023</v>
      </c>
      <c r="D66" s="4">
        <v>29</v>
      </c>
      <c r="E66" s="3">
        <f t="shared" si="40"/>
        <v>29.117460537756475</v>
      </c>
      <c r="F66" s="3">
        <f t="shared" si="41"/>
        <v>29.338701994593006</v>
      </c>
      <c r="G66" s="3">
        <f t="shared" si="42"/>
        <v>28.896219080919945</v>
      </c>
      <c r="H66" s="3">
        <f t="shared" si="43"/>
        <v>-0.88496582734612161</v>
      </c>
      <c r="I66" s="3">
        <f t="shared" si="47"/>
        <v>26.405477022998628</v>
      </c>
      <c r="J66" s="5">
        <f t="shared" si="46"/>
        <v>8.9466309551771442E-2</v>
      </c>
      <c r="K66" s="5">
        <f t="shared" si="44"/>
        <v>8.9466309551771442E-2</v>
      </c>
    </row>
    <row r="67" spans="2:11" x14ac:dyDescent="0.25">
      <c r="B67" s="3" t="s">
        <v>7</v>
      </c>
      <c r="C67" s="4">
        <v>2023</v>
      </c>
      <c r="D67" s="4">
        <v>27</v>
      </c>
      <c r="E67" s="3">
        <f t="shared" si="40"/>
        <v>27.423492107551297</v>
      </c>
      <c r="F67" s="3">
        <f t="shared" si="41"/>
        <v>27.80653408495964</v>
      </c>
      <c r="G67" s="3">
        <f t="shared" si="42"/>
        <v>27.040450130142954</v>
      </c>
      <c r="H67" s="3">
        <f t="shared" si="43"/>
        <v>-1.5321679096333725</v>
      </c>
      <c r="I67" s="3">
        <f t="shared" si="47"/>
        <v>28.011253253573823</v>
      </c>
      <c r="J67" s="5">
        <f t="shared" si="46"/>
        <v>-3.7453824206437898E-2</v>
      </c>
      <c r="K67" s="5">
        <f t="shared" si="44"/>
        <v>3.7453824206437898E-2</v>
      </c>
    </row>
    <row r="68" spans="2:11" x14ac:dyDescent="0.25">
      <c r="B68" s="3" t="s">
        <v>8</v>
      </c>
      <c r="C68" s="4">
        <v>2023</v>
      </c>
      <c r="D68" s="4">
        <v>25</v>
      </c>
      <c r="E68" s="3">
        <f t="shared" si="40"/>
        <v>25.484698421510259</v>
      </c>
      <c r="F68" s="3">
        <f t="shared" si="41"/>
        <v>25.949065554200139</v>
      </c>
      <c r="G68" s="3">
        <f t="shared" si="42"/>
        <v>25.02033128882038</v>
      </c>
      <c r="H68" s="3">
        <f t="shared" si="43"/>
        <v>-1.8574685307595189</v>
      </c>
      <c r="I68" s="3">
        <f t="shared" si="47"/>
        <v>25.508282220509582</v>
      </c>
      <c r="J68" s="5">
        <f t="shared" si="46"/>
        <v>-2.0331288820383264E-2</v>
      </c>
      <c r="K68" s="5">
        <f t="shared" si="44"/>
        <v>2.0331288820383264E-2</v>
      </c>
    </row>
    <row r="69" spans="2:11" x14ac:dyDescent="0.25">
      <c r="B69" s="3" t="s">
        <v>9</v>
      </c>
      <c r="C69" s="4">
        <v>2023</v>
      </c>
      <c r="D69" s="4">
        <v>28</v>
      </c>
      <c r="E69" s="3">
        <f t="shared" si="40"/>
        <v>27.496939684302056</v>
      </c>
      <c r="F69" s="3">
        <f t="shared" si="41"/>
        <v>27.187364858281676</v>
      </c>
      <c r="G69" s="3">
        <f t="shared" si="42"/>
        <v>27.806514510322437</v>
      </c>
      <c r="H69" s="3">
        <f t="shared" si="43"/>
        <v>1.2382993040815222</v>
      </c>
      <c r="I69" s="3">
        <f t="shared" si="47"/>
        <v>23.162862758060861</v>
      </c>
      <c r="J69" s="5">
        <f t="shared" si="46"/>
        <v>0.17275490149782641</v>
      </c>
      <c r="K69" s="5">
        <f t="shared" si="44"/>
        <v>0.17275490149782641</v>
      </c>
    </row>
    <row r="70" spans="2:11" x14ac:dyDescent="0.25">
      <c r="B70" s="3" t="s">
        <v>10</v>
      </c>
      <c r="C70" s="4">
        <v>2023</v>
      </c>
      <c r="D70" s="4">
        <v>30</v>
      </c>
      <c r="E70" s="3">
        <f t="shared" si="40"/>
        <v>29.499387936860412</v>
      </c>
      <c r="F70" s="3">
        <f t="shared" si="41"/>
        <v>29.036983321144668</v>
      </c>
      <c r="G70" s="3">
        <f t="shared" si="42"/>
        <v>29.961792552576156</v>
      </c>
      <c r="H70" s="3">
        <f t="shared" si="43"/>
        <v>1.8496184628629777</v>
      </c>
      <c r="I70" s="3">
        <f t="shared" si="47"/>
        <v>29.044813814403959</v>
      </c>
      <c r="J70" s="5">
        <f t="shared" si="46"/>
        <v>3.1839539519868038E-2</v>
      </c>
      <c r="K70" s="5">
        <f t="shared" si="44"/>
        <v>3.1839539519868038E-2</v>
      </c>
    </row>
    <row r="71" spans="2:11" x14ac:dyDescent="0.25">
      <c r="B71" s="3" t="s">
        <v>11</v>
      </c>
      <c r="C71" s="4">
        <v>2023</v>
      </c>
      <c r="D71" s="4">
        <v>35</v>
      </c>
      <c r="E71" s="3">
        <f t="shared" si="40"/>
        <v>33.899877587372082</v>
      </c>
      <c r="F71" s="3">
        <f t="shared" si="41"/>
        <v>32.927298734126602</v>
      </c>
      <c r="G71" s="3">
        <f t="shared" si="42"/>
        <v>34.872456440617562</v>
      </c>
      <c r="H71" s="3">
        <f t="shared" si="43"/>
        <v>3.89031541298192</v>
      </c>
      <c r="I71" s="3">
        <f t="shared" si="47"/>
        <v>31.811411015439134</v>
      </c>
      <c r="J71" s="5">
        <f t="shared" si="46"/>
        <v>9.1102542416024737E-2</v>
      </c>
      <c r="K71" s="5">
        <f t="shared" si="44"/>
        <v>9.1102542416024737E-2</v>
      </c>
    </row>
    <row r="72" spans="2:11" x14ac:dyDescent="0.25">
      <c r="B72" s="3" t="s">
        <v>12</v>
      </c>
      <c r="C72" s="4">
        <v>2023</v>
      </c>
      <c r="D72" s="4">
        <v>39</v>
      </c>
      <c r="E72" s="3">
        <f t="shared" si="40"/>
        <v>37.979975517474422</v>
      </c>
      <c r="F72" s="3">
        <f t="shared" si="41"/>
        <v>36.969440160804858</v>
      </c>
      <c r="G72" s="3">
        <f t="shared" si="42"/>
        <v>38.990510874143986</v>
      </c>
      <c r="H72" s="3">
        <f t="shared" si="43"/>
        <v>4.0421414266782563</v>
      </c>
      <c r="I72" s="3">
        <f t="shared" si="47"/>
        <v>38.762771853599482</v>
      </c>
      <c r="J72" s="5">
        <f t="shared" si="46"/>
        <v>6.0827729846286765E-3</v>
      </c>
      <c r="K72" s="5">
        <f t="shared" si="44"/>
        <v>6.0827729846286765E-3</v>
      </c>
    </row>
    <row r="73" spans="2:11" x14ac:dyDescent="0.25">
      <c r="B73" s="3" t="s">
        <v>13</v>
      </c>
      <c r="C73" s="4">
        <v>2024</v>
      </c>
      <c r="D73" s="4">
        <v>48</v>
      </c>
      <c r="E73" s="3">
        <f t="shared" si="40"/>
        <v>45.995995103494892</v>
      </c>
      <c r="F73" s="3">
        <f t="shared" si="41"/>
        <v>44.190684114956888</v>
      </c>
      <c r="G73" s="3">
        <f t="shared" si="42"/>
        <v>47.801306092032895</v>
      </c>
      <c r="H73" s="3">
        <f t="shared" si="43"/>
        <v>7.2212439541520155</v>
      </c>
      <c r="I73" s="3">
        <f t="shared" si="47"/>
        <v>43.032652300822242</v>
      </c>
      <c r="J73" s="5">
        <f t="shared" si="46"/>
        <v>0.10348641039953661</v>
      </c>
      <c r="K73" s="5">
        <f t="shared" si="44"/>
        <v>0.10348641039953661</v>
      </c>
    </row>
    <row r="74" spans="2:11" x14ac:dyDescent="0.25">
      <c r="B74" s="3" t="s">
        <v>2</v>
      </c>
      <c r="C74" s="4">
        <v>2024</v>
      </c>
      <c r="D74" s="4">
        <v>52</v>
      </c>
      <c r="E74" s="3">
        <f t="shared" si="40"/>
        <v>50.799199020698978</v>
      </c>
      <c r="F74" s="3">
        <f t="shared" si="41"/>
        <v>49.477496039550566</v>
      </c>
      <c r="G74" s="3">
        <f t="shared" si="42"/>
        <v>52.120902001847391</v>
      </c>
      <c r="H74" s="3">
        <f t="shared" si="43"/>
        <v>5.2868119245936498</v>
      </c>
      <c r="I74" s="3">
        <f t="shared" si="47"/>
        <v>55.022550046184911</v>
      </c>
      <c r="J74" s="5">
        <f t="shared" si="46"/>
        <v>-5.8125962426632899E-2</v>
      </c>
      <c r="K74" s="5">
        <f t="shared" si="44"/>
        <v>5.8125962426632899E-2</v>
      </c>
    </row>
    <row r="75" spans="2:11" x14ac:dyDescent="0.25">
      <c r="B75" s="3" t="s">
        <v>4</v>
      </c>
      <c r="C75" s="4">
        <v>2024</v>
      </c>
      <c r="D75" s="4">
        <v>47</v>
      </c>
      <c r="E75" s="3">
        <f t="shared" si="40"/>
        <v>47.759839804139801</v>
      </c>
      <c r="F75" s="3">
        <f t="shared" si="41"/>
        <v>48.103371051221956</v>
      </c>
      <c r="G75" s="3">
        <f t="shared" si="42"/>
        <v>47.416308557057647</v>
      </c>
      <c r="H75" s="3">
        <f t="shared" si="43"/>
        <v>-1.3741249883286173</v>
      </c>
      <c r="I75" s="3">
        <f t="shared" si="47"/>
        <v>57.407713926441041</v>
      </c>
      <c r="J75" s="5">
        <f t="shared" si="46"/>
        <v>-0.22144072183917107</v>
      </c>
      <c r="K75" s="5">
        <f t="shared" si="44"/>
        <v>0.22144072183917107</v>
      </c>
    </row>
    <row r="76" spans="2:11" x14ac:dyDescent="0.25">
      <c r="B76" s="3" t="s">
        <v>3</v>
      </c>
      <c r="C76" s="4">
        <v>2024</v>
      </c>
      <c r="D76" s="4">
        <v>40</v>
      </c>
      <c r="E76" s="3">
        <f t="shared" si="40"/>
        <v>41.551967960827959</v>
      </c>
      <c r="F76" s="3">
        <f t="shared" si="41"/>
        <v>42.862248578906758</v>
      </c>
      <c r="G76" s="3">
        <f t="shared" si="42"/>
        <v>40.241687342749159</v>
      </c>
      <c r="H76" s="3">
        <f t="shared" si="43"/>
        <v>-5.2411224723151975</v>
      </c>
      <c r="I76" s="3">
        <f t="shared" si="47"/>
        <v>46.04218356872903</v>
      </c>
      <c r="J76" s="5">
        <f t="shared" si="46"/>
        <v>-0.15105458921822573</v>
      </c>
      <c r="K76" s="5">
        <f t="shared" si="44"/>
        <v>0.15105458921822573</v>
      </c>
    </row>
    <row r="77" spans="2:11" x14ac:dyDescent="0.25">
      <c r="B77" s="3" t="s">
        <v>5</v>
      </c>
      <c r="C77" s="4">
        <v>2024</v>
      </c>
      <c r="D77" s="4">
        <v>36</v>
      </c>
      <c r="E77" s="3">
        <f t="shared" si="40"/>
        <v>37.110393592165593</v>
      </c>
      <c r="F77" s="3">
        <f t="shared" si="41"/>
        <v>38.260764589513826</v>
      </c>
      <c r="G77" s="3">
        <f t="shared" si="42"/>
        <v>35.96002259481736</v>
      </c>
      <c r="H77" s="3">
        <f t="shared" si="43"/>
        <v>-4.601483989392932</v>
      </c>
      <c r="I77" s="3">
        <f t="shared" si="47"/>
        <v>35.000564870433962</v>
      </c>
      <c r="J77" s="5">
        <f t="shared" si="46"/>
        <v>2.7762086932389945E-2</v>
      </c>
      <c r="K77" s="5">
        <f t="shared" si="44"/>
        <v>2.7762086932389945E-2</v>
      </c>
    </row>
    <row r="78" spans="2:11" x14ac:dyDescent="0.25">
      <c r="B78" s="3" t="s">
        <v>6</v>
      </c>
      <c r="C78" s="4">
        <v>2024</v>
      </c>
      <c r="D78" s="4">
        <v>35</v>
      </c>
      <c r="E78" s="3">
        <f t="shared" si="40"/>
        <v>35.42207871843312</v>
      </c>
      <c r="F78" s="3">
        <f t="shared" si="41"/>
        <v>35.989815892649261</v>
      </c>
      <c r="G78" s="3">
        <f t="shared" si="42"/>
        <v>34.854341544216979</v>
      </c>
      <c r="H78" s="3">
        <f t="shared" si="43"/>
        <v>-2.2709486968645649</v>
      </c>
      <c r="I78" s="3">
        <f t="shared" si="47"/>
        <v>31.358538605424428</v>
      </c>
      <c r="J78" s="5">
        <f t="shared" si="46"/>
        <v>0.10404175413073062</v>
      </c>
      <c r="K78" s="5">
        <f t="shared" si="44"/>
        <v>0.10404175413073062</v>
      </c>
    </row>
    <row r="79" spans="2:11" x14ac:dyDescent="0.25">
      <c r="B79" s="3" t="s">
        <v>7</v>
      </c>
      <c r="C79" s="4">
        <v>2024</v>
      </c>
      <c r="D79" s="4">
        <v>31</v>
      </c>
      <c r="E79" s="3">
        <f t="shared" si="40"/>
        <v>31.884415743686624</v>
      </c>
      <c r="F79" s="3">
        <f t="shared" si="41"/>
        <v>32.70549577347915</v>
      </c>
      <c r="G79" s="3">
        <f t="shared" si="42"/>
        <v>31.063335713894098</v>
      </c>
      <c r="H79" s="3">
        <f t="shared" si="43"/>
        <v>-3.2843201191701041</v>
      </c>
      <c r="I79" s="3">
        <f t="shared" si="47"/>
        <v>32.583392847352414</v>
      </c>
      <c r="J79" s="5">
        <f t="shared" si="46"/>
        <v>-5.1077188624271415E-2</v>
      </c>
      <c r="K79" s="5">
        <f t="shared" si="44"/>
        <v>5.1077188624271415E-2</v>
      </c>
    </row>
    <row r="80" spans="2:11" x14ac:dyDescent="0.25">
      <c r="B80" s="6" t="s">
        <v>8</v>
      </c>
      <c r="C80" s="7">
        <v>2024</v>
      </c>
      <c r="D80" s="6"/>
      <c r="E80" s="8"/>
      <c r="F80" s="8"/>
      <c r="G80" s="8"/>
      <c r="H80" s="8"/>
      <c r="I80" s="9">
        <f>G79+H79</f>
        <v>27.779015594723994</v>
      </c>
      <c r="J80" s="6" t="s">
        <v>21</v>
      </c>
      <c r="K80" s="10">
        <f>100/36*SUM(K45:K79)</f>
        <v>7.7208770612165267</v>
      </c>
    </row>
    <row r="84" spans="1:14" x14ac:dyDescent="0.25">
      <c r="A84" s="1"/>
      <c r="B84" s="1"/>
      <c r="C84" s="1"/>
    </row>
    <row r="85" spans="1:14" x14ac:dyDescent="0.25">
      <c r="B85" s="11" t="s">
        <v>0</v>
      </c>
      <c r="C85" s="11" t="s">
        <v>1</v>
      </c>
      <c r="D85" s="11" t="s">
        <v>22</v>
      </c>
      <c r="E85" s="11" t="s">
        <v>14</v>
      </c>
      <c r="F85" s="11" t="s">
        <v>15</v>
      </c>
      <c r="G85" s="11" t="s">
        <v>16</v>
      </c>
      <c r="H85" s="11" t="s">
        <v>17</v>
      </c>
      <c r="I85" s="11" t="s">
        <v>18</v>
      </c>
      <c r="J85" s="11" t="s">
        <v>19</v>
      </c>
      <c r="K85" s="11" t="s">
        <v>20</v>
      </c>
      <c r="N85" s="12">
        <v>0.7</v>
      </c>
    </row>
    <row r="86" spans="1:14" x14ac:dyDescent="0.25">
      <c r="B86" s="3" t="s">
        <v>8</v>
      </c>
      <c r="C86" s="3">
        <v>2021</v>
      </c>
      <c r="D86" s="3">
        <v>20</v>
      </c>
      <c r="E86" s="3">
        <v>20</v>
      </c>
      <c r="F86" s="3">
        <v>20</v>
      </c>
      <c r="G86" s="3">
        <v>20</v>
      </c>
      <c r="H86" s="3">
        <v>0</v>
      </c>
      <c r="I86" s="3"/>
      <c r="J86" s="4"/>
      <c r="K86" s="4"/>
      <c r="N86" s="12">
        <v>0.3</v>
      </c>
    </row>
    <row r="87" spans="1:14" x14ac:dyDescent="0.25">
      <c r="B87" s="3" t="s">
        <v>9</v>
      </c>
      <c r="C87" s="3">
        <v>2021</v>
      </c>
      <c r="D87" s="3">
        <v>25</v>
      </c>
      <c r="E87" s="3">
        <f>($N$85)*D87+($N$86)*E86</f>
        <v>23.5</v>
      </c>
      <c r="F87" s="3">
        <f>($N$85)*E87+($N$86)*F86</f>
        <v>22.45</v>
      </c>
      <c r="G87" s="3">
        <f>2*(E87)-(F87)</f>
        <v>24.55</v>
      </c>
      <c r="H87" s="3">
        <f>$N$85/$N$86*(E87-F87)</f>
        <v>2.450000000000002</v>
      </c>
      <c r="I87" s="3">
        <f>G86+H86</f>
        <v>20</v>
      </c>
      <c r="J87" s="5">
        <f>(D87-I87)/D87</f>
        <v>0.2</v>
      </c>
      <c r="K87" s="5">
        <f>ABS(J87)</f>
        <v>0.2</v>
      </c>
    </row>
    <row r="88" spans="1:14" x14ac:dyDescent="0.25">
      <c r="B88" s="3" t="s">
        <v>10</v>
      </c>
      <c r="C88" s="3">
        <v>2021</v>
      </c>
      <c r="D88" s="3">
        <v>27</v>
      </c>
      <c r="E88" s="3">
        <f t="shared" ref="E88:E121" si="48">($N$85)*D88+($N$86)*E87</f>
        <v>25.95</v>
      </c>
      <c r="F88" s="3">
        <f t="shared" ref="F88:F121" si="49">($N$85)*E88+($N$86)*F87</f>
        <v>24.9</v>
      </c>
      <c r="G88" s="3">
        <f t="shared" ref="G88:G121" si="50">2*(E88)-(F88)</f>
        <v>27</v>
      </c>
      <c r="H88" s="3">
        <f t="shared" ref="H88:H121" si="51">$N$85/$N$86*(E88-F88)</f>
        <v>2.450000000000002</v>
      </c>
      <c r="I88" s="3">
        <f>G87+H87</f>
        <v>27.000000000000004</v>
      </c>
      <c r="J88" s="5">
        <f>(D88-I88)/D88</f>
        <v>-1.3158198810372225E-16</v>
      </c>
      <c r="K88" s="5">
        <f t="shared" ref="K88:K121" si="52">ABS(J88)</f>
        <v>1.3158198810372225E-16</v>
      </c>
    </row>
    <row r="89" spans="1:14" x14ac:dyDescent="0.25">
      <c r="B89" s="3" t="s">
        <v>11</v>
      </c>
      <c r="C89" s="3">
        <v>2021</v>
      </c>
      <c r="D89" s="3">
        <v>30</v>
      </c>
      <c r="E89" s="3">
        <f t="shared" si="48"/>
        <v>28.785</v>
      </c>
      <c r="F89" s="3">
        <f t="shared" si="49"/>
        <v>27.619499999999999</v>
      </c>
      <c r="G89" s="3">
        <f t="shared" si="50"/>
        <v>29.950500000000002</v>
      </c>
      <c r="H89" s="3">
        <f t="shared" si="51"/>
        <v>2.7195000000000036</v>
      </c>
      <c r="I89" s="3">
        <f t="shared" ref="I89:I122" si="53">G88+H88</f>
        <v>29.450000000000003</v>
      </c>
      <c r="J89" s="5">
        <f t="shared" ref="J89:J121" si="54">(D89-I89)/D89</f>
        <v>1.833333333333324E-2</v>
      </c>
      <c r="K89" s="5">
        <f t="shared" si="52"/>
        <v>1.833333333333324E-2</v>
      </c>
    </row>
    <row r="90" spans="1:14" x14ac:dyDescent="0.25">
      <c r="B90" s="3" t="s">
        <v>12</v>
      </c>
      <c r="C90" s="3">
        <v>2021</v>
      </c>
      <c r="D90" s="3">
        <v>32</v>
      </c>
      <c r="E90" s="3">
        <f t="shared" si="48"/>
        <v>31.035499999999999</v>
      </c>
      <c r="F90" s="3">
        <f t="shared" si="49"/>
        <v>30.010699999999996</v>
      </c>
      <c r="G90" s="3">
        <f t="shared" si="50"/>
        <v>32.060299999999998</v>
      </c>
      <c r="H90" s="3">
        <f t="shared" si="51"/>
        <v>2.3912000000000062</v>
      </c>
      <c r="I90" s="3">
        <f t="shared" si="53"/>
        <v>32.67</v>
      </c>
      <c r="J90" s="5">
        <f t="shared" si="54"/>
        <v>-2.0937500000000053E-2</v>
      </c>
      <c r="K90" s="5">
        <f t="shared" si="52"/>
        <v>2.0937500000000053E-2</v>
      </c>
    </row>
    <row r="91" spans="1:14" x14ac:dyDescent="0.25">
      <c r="B91" s="3" t="s">
        <v>13</v>
      </c>
      <c r="C91" s="3">
        <v>2021</v>
      </c>
      <c r="D91" s="3">
        <v>33</v>
      </c>
      <c r="E91" s="3">
        <f t="shared" si="48"/>
        <v>32.410649999999997</v>
      </c>
      <c r="F91" s="3">
        <f t="shared" si="49"/>
        <v>31.690664999999996</v>
      </c>
      <c r="G91" s="3">
        <f t="shared" si="50"/>
        <v>33.130634999999998</v>
      </c>
      <c r="H91" s="3">
        <f t="shared" si="51"/>
        <v>1.6799650000000028</v>
      </c>
      <c r="I91" s="3">
        <f t="shared" si="53"/>
        <v>34.451500000000003</v>
      </c>
      <c r="J91" s="5">
        <f t="shared" si="54"/>
        <v>-4.3984848484848571E-2</v>
      </c>
      <c r="K91" s="5">
        <f t="shared" si="52"/>
        <v>4.3984848484848571E-2</v>
      </c>
    </row>
    <row r="92" spans="1:14" x14ac:dyDescent="0.25">
      <c r="B92" s="3" t="s">
        <v>2</v>
      </c>
      <c r="C92" s="3">
        <v>2021</v>
      </c>
      <c r="D92" s="3">
        <v>33</v>
      </c>
      <c r="E92" s="3">
        <f t="shared" si="48"/>
        <v>32.823194999999998</v>
      </c>
      <c r="F92" s="3">
        <f t="shared" si="49"/>
        <v>32.483435999999998</v>
      </c>
      <c r="G92" s="3">
        <f t="shared" si="50"/>
        <v>33.162953999999999</v>
      </c>
      <c r="H92" s="3">
        <f t="shared" si="51"/>
        <v>0.79277100000000189</v>
      </c>
      <c r="I92" s="3">
        <f t="shared" si="53"/>
        <v>34.810600000000001</v>
      </c>
      <c r="J92" s="5">
        <f t="shared" si="54"/>
        <v>-5.4866666666666696E-2</v>
      </c>
      <c r="K92" s="5">
        <f t="shared" si="52"/>
        <v>5.4866666666666696E-2</v>
      </c>
    </row>
    <row r="93" spans="1:14" x14ac:dyDescent="0.25">
      <c r="B93" s="3" t="s">
        <v>4</v>
      </c>
      <c r="C93" s="3">
        <v>2022</v>
      </c>
      <c r="D93" s="3">
        <v>30</v>
      </c>
      <c r="E93" s="3">
        <f t="shared" si="48"/>
        <v>30.8469585</v>
      </c>
      <c r="F93" s="3">
        <f t="shared" si="49"/>
        <v>31.337901749999997</v>
      </c>
      <c r="G93" s="3">
        <f t="shared" si="50"/>
        <v>30.356015250000002</v>
      </c>
      <c r="H93" s="3">
        <f t="shared" si="51"/>
        <v>-1.1455342499999936</v>
      </c>
      <c r="I93" s="3">
        <f>G92+H92</f>
        <v>33.955725000000001</v>
      </c>
      <c r="J93" s="5">
        <f t="shared" si="54"/>
        <v>-0.13185750000000004</v>
      </c>
      <c r="K93" s="5">
        <f t="shared" si="52"/>
        <v>0.13185750000000004</v>
      </c>
    </row>
    <row r="94" spans="1:14" x14ac:dyDescent="0.25">
      <c r="B94" s="3" t="s">
        <v>3</v>
      </c>
      <c r="C94" s="3">
        <v>2022</v>
      </c>
      <c r="D94" s="3">
        <v>28</v>
      </c>
      <c r="E94" s="3">
        <f t="shared" si="48"/>
        <v>28.854087549999996</v>
      </c>
      <c r="F94" s="3">
        <f t="shared" si="49"/>
        <v>29.599231809999992</v>
      </c>
      <c r="G94" s="3">
        <f t="shared" si="50"/>
        <v>28.108943289999999</v>
      </c>
      <c r="H94" s="3">
        <f t="shared" si="51"/>
        <v>-1.7386699399999919</v>
      </c>
      <c r="I94" s="3">
        <f t="shared" si="53"/>
        <v>29.210481000000009</v>
      </c>
      <c r="J94" s="5">
        <f t="shared" si="54"/>
        <v>-4.3231464285714595E-2</v>
      </c>
      <c r="K94" s="5">
        <f t="shared" si="52"/>
        <v>4.3231464285714595E-2</v>
      </c>
    </row>
    <row r="95" spans="1:14" x14ac:dyDescent="0.25">
      <c r="B95" s="3" t="s">
        <v>5</v>
      </c>
      <c r="C95" s="3">
        <v>2022</v>
      </c>
      <c r="D95" s="3">
        <v>26</v>
      </c>
      <c r="E95" s="3">
        <f t="shared" si="48"/>
        <v>26.856226264999997</v>
      </c>
      <c r="F95" s="3">
        <f t="shared" si="49"/>
        <v>27.679127928499994</v>
      </c>
      <c r="G95" s="3">
        <f t="shared" si="50"/>
        <v>26.033324601499999</v>
      </c>
      <c r="H95" s="3">
        <f t="shared" si="51"/>
        <v>-1.9201038814999953</v>
      </c>
      <c r="I95" s="3">
        <f t="shared" si="53"/>
        <v>26.370273350000009</v>
      </c>
      <c r="J95" s="5">
        <f t="shared" si="54"/>
        <v>-1.4241282692308023E-2</v>
      </c>
      <c r="K95" s="5">
        <f t="shared" si="52"/>
        <v>1.4241282692308023E-2</v>
      </c>
    </row>
    <row r="96" spans="1:14" x14ac:dyDescent="0.25">
      <c r="B96" s="3" t="s">
        <v>6</v>
      </c>
      <c r="C96" s="3">
        <v>2022</v>
      </c>
      <c r="D96" s="3">
        <v>26</v>
      </c>
      <c r="E96" s="3">
        <f t="shared" si="48"/>
        <v>26.2568678795</v>
      </c>
      <c r="F96" s="3">
        <f t="shared" si="49"/>
        <v>26.683545894199995</v>
      </c>
      <c r="G96" s="3">
        <f t="shared" si="50"/>
        <v>25.830189864800005</v>
      </c>
      <c r="H96" s="3">
        <f t="shared" si="51"/>
        <v>-0.99558203429998815</v>
      </c>
      <c r="I96" s="3">
        <f t="shared" si="53"/>
        <v>24.113220720000005</v>
      </c>
      <c r="J96" s="5">
        <f t="shared" si="54"/>
        <v>7.2568433846153663E-2</v>
      </c>
      <c r="K96" s="5">
        <f t="shared" si="52"/>
        <v>7.2568433846153663E-2</v>
      </c>
    </row>
    <row r="97" spans="2:14" x14ac:dyDescent="0.25">
      <c r="B97" s="3" t="s">
        <v>7</v>
      </c>
      <c r="C97" s="3">
        <v>2022</v>
      </c>
      <c r="D97" s="3">
        <v>22</v>
      </c>
      <c r="E97" s="3">
        <f t="shared" si="48"/>
        <v>23.277060363849998</v>
      </c>
      <c r="F97" s="3">
        <f t="shared" si="49"/>
        <v>24.299006022954995</v>
      </c>
      <c r="G97" s="3">
        <f t="shared" si="50"/>
        <v>22.255114704745001</v>
      </c>
      <c r="H97" s="3">
        <f t="shared" si="51"/>
        <v>-2.3845398712449928</v>
      </c>
      <c r="I97" s="3">
        <f t="shared" si="53"/>
        <v>24.834607830500016</v>
      </c>
      <c r="J97" s="5">
        <f t="shared" si="54"/>
        <v>-0.12884581047727342</v>
      </c>
      <c r="K97" s="5">
        <f t="shared" si="52"/>
        <v>0.12884581047727342</v>
      </c>
    </row>
    <row r="98" spans="2:14" x14ac:dyDescent="0.25">
      <c r="B98" s="3" t="s">
        <v>8</v>
      </c>
      <c r="C98" s="3">
        <v>2022</v>
      </c>
      <c r="D98" s="4">
        <v>20</v>
      </c>
      <c r="E98" s="3">
        <f t="shared" si="48"/>
        <v>20.983118109155001</v>
      </c>
      <c r="F98" s="3">
        <f t="shared" si="49"/>
        <v>21.977884483295</v>
      </c>
      <c r="G98" s="3">
        <f t="shared" si="50"/>
        <v>19.988351735015002</v>
      </c>
      <c r="H98" s="3">
        <f t="shared" si="51"/>
        <v>-2.3211215396599982</v>
      </c>
      <c r="I98" s="3">
        <f t="shared" si="53"/>
        <v>19.870574833500008</v>
      </c>
      <c r="J98" s="5">
        <f t="shared" si="54"/>
        <v>6.4712583249995955E-3</v>
      </c>
      <c r="K98" s="5">
        <f t="shared" si="52"/>
        <v>6.4712583249995955E-3</v>
      </c>
      <c r="M98" s="2"/>
      <c r="N98" s="2"/>
    </row>
    <row r="99" spans="2:14" x14ac:dyDescent="0.25">
      <c r="B99" s="3" t="s">
        <v>9</v>
      </c>
      <c r="C99" s="3">
        <v>2022</v>
      </c>
      <c r="D99" s="4">
        <v>25</v>
      </c>
      <c r="E99" s="3">
        <f t="shared" si="48"/>
        <v>23.794935432746499</v>
      </c>
      <c r="F99" s="3">
        <f t="shared" si="49"/>
        <v>23.249820147911048</v>
      </c>
      <c r="G99" s="3">
        <f t="shared" si="50"/>
        <v>24.340050717581949</v>
      </c>
      <c r="H99" s="3">
        <f t="shared" si="51"/>
        <v>1.2719356646160509</v>
      </c>
      <c r="I99" s="3">
        <f t="shared" si="53"/>
        <v>17.667230195355003</v>
      </c>
      <c r="J99" s="5">
        <f t="shared" si="54"/>
        <v>0.29331079218579986</v>
      </c>
      <c r="K99" s="5">
        <f t="shared" si="52"/>
        <v>0.29331079218579986</v>
      </c>
    </row>
    <row r="100" spans="2:14" x14ac:dyDescent="0.25">
      <c r="B100" s="3" t="s">
        <v>10</v>
      </c>
      <c r="C100" s="3">
        <v>2022</v>
      </c>
      <c r="D100" s="4">
        <v>29</v>
      </c>
      <c r="E100" s="3">
        <f t="shared" si="48"/>
        <v>27.438480629823946</v>
      </c>
      <c r="F100" s="3">
        <f t="shared" si="49"/>
        <v>26.181882485250075</v>
      </c>
      <c r="G100" s="3">
        <f t="shared" si="50"/>
        <v>28.695078774397818</v>
      </c>
      <c r="H100" s="3">
        <f t="shared" si="51"/>
        <v>2.9320623373390333</v>
      </c>
      <c r="I100" s="3">
        <f t="shared" si="53"/>
        <v>25.611986382198001</v>
      </c>
      <c r="J100" s="5">
        <f t="shared" si="54"/>
        <v>0.11682805578627582</v>
      </c>
      <c r="K100" s="5">
        <f t="shared" si="52"/>
        <v>0.11682805578627582</v>
      </c>
    </row>
    <row r="101" spans="2:14" x14ac:dyDescent="0.25">
      <c r="B101" s="3" t="s">
        <v>11</v>
      </c>
      <c r="C101" s="3">
        <v>2022</v>
      </c>
      <c r="D101" s="4">
        <v>30</v>
      </c>
      <c r="E101" s="3">
        <f t="shared" si="48"/>
        <v>29.231544188947183</v>
      </c>
      <c r="F101" s="3">
        <f t="shared" si="49"/>
        <v>28.31664567783805</v>
      </c>
      <c r="G101" s="3">
        <f t="shared" si="50"/>
        <v>30.146442700056316</v>
      </c>
      <c r="H101" s="3">
        <f t="shared" si="51"/>
        <v>2.1347631925879766</v>
      </c>
      <c r="I101" s="3">
        <f t="shared" si="53"/>
        <v>31.627141111736851</v>
      </c>
      <c r="J101" s="5">
        <f t="shared" si="54"/>
        <v>-5.4238037057895025E-2</v>
      </c>
      <c r="K101" s="5">
        <f t="shared" si="52"/>
        <v>5.4238037057895025E-2</v>
      </c>
    </row>
    <row r="102" spans="2:14" x14ac:dyDescent="0.25">
      <c r="B102" s="3" t="s">
        <v>12</v>
      </c>
      <c r="C102" s="3">
        <v>2022</v>
      </c>
      <c r="D102" s="4">
        <v>33</v>
      </c>
      <c r="E102" s="3">
        <f t="shared" si="48"/>
        <v>31.869463256684153</v>
      </c>
      <c r="F102" s="3">
        <f t="shared" si="49"/>
        <v>30.803617983030321</v>
      </c>
      <c r="G102" s="3">
        <f t="shared" si="50"/>
        <v>32.935308530337984</v>
      </c>
      <c r="H102" s="3">
        <f t="shared" si="51"/>
        <v>2.4869723051922739</v>
      </c>
      <c r="I102" s="3">
        <f t="shared" si="53"/>
        <v>32.281205892644294</v>
      </c>
      <c r="J102" s="5">
        <f t="shared" si="54"/>
        <v>2.1781639616839564E-2</v>
      </c>
      <c r="K102" s="5">
        <f t="shared" si="52"/>
        <v>2.1781639616839564E-2</v>
      </c>
    </row>
    <row r="103" spans="2:14" x14ac:dyDescent="0.25">
      <c r="B103" s="3" t="s">
        <v>13</v>
      </c>
      <c r="C103" s="3">
        <v>2022</v>
      </c>
      <c r="D103" s="4">
        <v>37</v>
      </c>
      <c r="E103" s="3">
        <f t="shared" si="48"/>
        <v>35.460838977005245</v>
      </c>
      <c r="F103" s="3">
        <f t="shared" si="49"/>
        <v>34.063672678812765</v>
      </c>
      <c r="G103" s="3">
        <f t="shared" si="50"/>
        <v>36.858005275197726</v>
      </c>
      <c r="H103" s="3">
        <f t="shared" si="51"/>
        <v>3.2600546957824554</v>
      </c>
      <c r="I103" s="3">
        <f t="shared" si="53"/>
        <v>35.422280835530259</v>
      </c>
      <c r="J103" s="5">
        <f t="shared" si="54"/>
        <v>4.2641058499182191E-2</v>
      </c>
      <c r="K103" s="5">
        <f t="shared" si="52"/>
        <v>4.2641058499182191E-2</v>
      </c>
    </row>
    <row r="104" spans="2:14" x14ac:dyDescent="0.25">
      <c r="B104" s="3" t="s">
        <v>2</v>
      </c>
      <c r="C104" s="3">
        <v>2022</v>
      </c>
      <c r="D104" s="4">
        <v>39</v>
      </c>
      <c r="E104" s="3">
        <f t="shared" si="48"/>
        <v>37.93825169310157</v>
      </c>
      <c r="F104" s="3">
        <f t="shared" si="49"/>
        <v>36.775877988814926</v>
      </c>
      <c r="G104" s="3">
        <f t="shared" si="50"/>
        <v>39.100625397388214</v>
      </c>
      <c r="H104" s="3">
        <f t="shared" si="51"/>
        <v>2.7122053100021688</v>
      </c>
      <c r="I104" s="3">
        <f t="shared" si="53"/>
        <v>40.118059970980184</v>
      </c>
      <c r="J104" s="5">
        <f t="shared" si="54"/>
        <v>-2.866820438410728E-2</v>
      </c>
      <c r="K104" s="5">
        <f t="shared" si="52"/>
        <v>2.866820438410728E-2</v>
      </c>
    </row>
    <row r="105" spans="2:14" x14ac:dyDescent="0.25">
      <c r="B105" s="3" t="s">
        <v>4</v>
      </c>
      <c r="C105" s="4">
        <v>2023</v>
      </c>
      <c r="D105" s="4">
        <v>35</v>
      </c>
      <c r="E105" s="3">
        <f t="shared" si="48"/>
        <v>35.881475507930475</v>
      </c>
      <c r="F105" s="3">
        <f t="shared" si="49"/>
        <v>36.149796252195806</v>
      </c>
      <c r="G105" s="3">
        <f t="shared" si="50"/>
        <v>35.613154763665143</v>
      </c>
      <c r="H105" s="3">
        <f t="shared" si="51"/>
        <v>-0.62608173661910627</v>
      </c>
      <c r="I105" s="3">
        <f t="shared" si="53"/>
        <v>41.812830707390383</v>
      </c>
      <c r="J105" s="5">
        <f t="shared" si="54"/>
        <v>-0.1946523059254395</v>
      </c>
      <c r="K105" s="5">
        <f t="shared" si="52"/>
        <v>0.1946523059254395</v>
      </c>
    </row>
    <row r="106" spans="2:14" x14ac:dyDescent="0.25">
      <c r="B106" s="3" t="s">
        <v>3</v>
      </c>
      <c r="C106" s="4">
        <v>2023</v>
      </c>
      <c r="D106" s="4">
        <v>31</v>
      </c>
      <c r="E106" s="3">
        <f t="shared" si="48"/>
        <v>32.464442652379141</v>
      </c>
      <c r="F106" s="3">
        <f t="shared" si="49"/>
        <v>33.570048732324139</v>
      </c>
      <c r="G106" s="3">
        <f t="shared" si="50"/>
        <v>31.358836572434143</v>
      </c>
      <c r="H106" s="3">
        <f t="shared" si="51"/>
        <v>-2.5797475198716624</v>
      </c>
      <c r="I106" s="3">
        <f t="shared" si="53"/>
        <v>34.987073027046037</v>
      </c>
      <c r="J106" s="5">
        <f t="shared" si="54"/>
        <v>-0.12861525893696893</v>
      </c>
      <c r="K106" s="5">
        <f t="shared" si="52"/>
        <v>0.12861525893696893</v>
      </c>
    </row>
    <row r="107" spans="2:14" x14ac:dyDescent="0.25">
      <c r="B107" s="3" t="s">
        <v>5</v>
      </c>
      <c r="C107" s="4">
        <v>2023</v>
      </c>
      <c r="D107" s="4">
        <v>29</v>
      </c>
      <c r="E107" s="3">
        <f t="shared" si="48"/>
        <v>30.03933279571374</v>
      </c>
      <c r="F107" s="3">
        <f t="shared" si="49"/>
        <v>31.098547576696859</v>
      </c>
      <c r="G107" s="3">
        <f t="shared" si="50"/>
        <v>28.980118014730621</v>
      </c>
      <c r="H107" s="3">
        <f t="shared" si="51"/>
        <v>-2.4715011556272777</v>
      </c>
      <c r="I107" s="3">
        <f t="shared" si="53"/>
        <v>28.77908905256248</v>
      </c>
      <c r="J107" s="5">
        <f t="shared" si="54"/>
        <v>7.6176188771558753E-3</v>
      </c>
      <c r="K107" s="5">
        <f t="shared" si="52"/>
        <v>7.6176188771558753E-3</v>
      </c>
    </row>
    <row r="108" spans="2:14" x14ac:dyDescent="0.25">
      <c r="B108" s="3" t="s">
        <v>6</v>
      </c>
      <c r="C108" s="4">
        <v>2023</v>
      </c>
      <c r="D108" s="4">
        <v>29</v>
      </c>
      <c r="E108" s="3">
        <f t="shared" si="48"/>
        <v>29.311799838714119</v>
      </c>
      <c r="F108" s="3">
        <f t="shared" si="49"/>
        <v>29.847824160108942</v>
      </c>
      <c r="G108" s="3">
        <f t="shared" si="50"/>
        <v>28.775775517319296</v>
      </c>
      <c r="H108" s="3">
        <f t="shared" si="51"/>
        <v>-1.2507234165879204</v>
      </c>
      <c r="I108" s="3">
        <f t="shared" si="53"/>
        <v>26.508616859103345</v>
      </c>
      <c r="J108" s="5">
        <f t="shared" si="54"/>
        <v>8.5909763479195003E-2</v>
      </c>
      <c r="K108" s="5">
        <f t="shared" si="52"/>
        <v>8.5909763479195003E-2</v>
      </c>
    </row>
    <row r="109" spans="2:14" x14ac:dyDescent="0.25">
      <c r="B109" s="3" t="s">
        <v>7</v>
      </c>
      <c r="C109" s="4">
        <v>2023</v>
      </c>
      <c r="D109" s="4">
        <v>27</v>
      </c>
      <c r="E109" s="3">
        <f t="shared" si="48"/>
        <v>27.693539951614234</v>
      </c>
      <c r="F109" s="3">
        <f t="shared" si="49"/>
        <v>28.339825214162644</v>
      </c>
      <c r="G109" s="3">
        <f t="shared" si="50"/>
        <v>27.047254689065824</v>
      </c>
      <c r="H109" s="3">
        <f t="shared" si="51"/>
        <v>-1.5079989459462908</v>
      </c>
      <c r="I109" s="3">
        <f t="shared" si="53"/>
        <v>27.525052100731376</v>
      </c>
      <c r="J109" s="5">
        <f t="shared" si="54"/>
        <v>-1.9446374101162064E-2</v>
      </c>
      <c r="K109" s="5">
        <f t="shared" si="52"/>
        <v>1.9446374101162064E-2</v>
      </c>
    </row>
    <row r="110" spans="2:14" x14ac:dyDescent="0.25">
      <c r="B110" s="3" t="s">
        <v>8</v>
      </c>
      <c r="C110" s="4">
        <v>2023</v>
      </c>
      <c r="D110" s="4">
        <v>25</v>
      </c>
      <c r="E110" s="3">
        <f t="shared" si="48"/>
        <v>25.808061985484272</v>
      </c>
      <c r="F110" s="3">
        <f t="shared" si="49"/>
        <v>26.567590954087784</v>
      </c>
      <c r="G110" s="3">
        <f t="shared" si="50"/>
        <v>25.048533016880761</v>
      </c>
      <c r="H110" s="3">
        <f t="shared" si="51"/>
        <v>-1.7722342600748606</v>
      </c>
      <c r="I110" s="3">
        <f t="shared" si="53"/>
        <v>25.539255743119533</v>
      </c>
      <c r="J110" s="5">
        <f t="shared" si="54"/>
        <v>-2.1570229724781315E-2</v>
      </c>
      <c r="K110" s="5">
        <f t="shared" si="52"/>
        <v>2.1570229724781315E-2</v>
      </c>
    </row>
    <row r="111" spans="2:14" x14ac:dyDescent="0.25">
      <c r="B111" s="3" t="s">
        <v>9</v>
      </c>
      <c r="C111" s="4">
        <v>2023</v>
      </c>
      <c r="D111" s="4">
        <v>28</v>
      </c>
      <c r="E111" s="3">
        <f t="shared" si="48"/>
        <v>27.342418595645277</v>
      </c>
      <c r="F111" s="3">
        <f t="shared" si="49"/>
        <v>27.109970303178027</v>
      </c>
      <c r="G111" s="3">
        <f t="shared" si="50"/>
        <v>27.574866888112528</v>
      </c>
      <c r="H111" s="3">
        <f t="shared" si="51"/>
        <v>0.54237934909025043</v>
      </c>
      <c r="I111" s="3">
        <f t="shared" si="53"/>
        <v>23.2762987568059</v>
      </c>
      <c r="J111" s="5">
        <f t="shared" si="54"/>
        <v>0.16870361582836071</v>
      </c>
      <c r="K111" s="5">
        <f t="shared" si="52"/>
        <v>0.16870361582836071</v>
      </c>
    </row>
    <row r="112" spans="2:14" x14ac:dyDescent="0.25">
      <c r="B112" s="3" t="s">
        <v>10</v>
      </c>
      <c r="C112" s="4">
        <v>2023</v>
      </c>
      <c r="D112" s="4">
        <v>30</v>
      </c>
      <c r="E112" s="3">
        <f t="shared" si="48"/>
        <v>29.202725578693581</v>
      </c>
      <c r="F112" s="3">
        <f t="shared" si="49"/>
        <v>28.574898996038911</v>
      </c>
      <c r="G112" s="3">
        <f t="shared" si="50"/>
        <v>29.830552161348251</v>
      </c>
      <c r="H112" s="3">
        <f t="shared" si="51"/>
        <v>1.4649286928608969</v>
      </c>
      <c r="I112" s="3">
        <f t="shared" si="53"/>
        <v>28.117246237202778</v>
      </c>
      <c r="J112" s="5">
        <f t="shared" si="54"/>
        <v>6.2758458759907404E-2</v>
      </c>
      <c r="K112" s="5">
        <f t="shared" si="52"/>
        <v>6.2758458759907404E-2</v>
      </c>
    </row>
    <row r="113" spans="2:14" x14ac:dyDescent="0.25">
      <c r="B113" s="3" t="s">
        <v>11</v>
      </c>
      <c r="C113" s="4">
        <v>2023</v>
      </c>
      <c r="D113" s="4">
        <v>35</v>
      </c>
      <c r="E113" s="3">
        <f t="shared" si="48"/>
        <v>33.260817673608074</v>
      </c>
      <c r="F113" s="3">
        <f t="shared" si="49"/>
        <v>31.855042070337323</v>
      </c>
      <c r="G113" s="3">
        <f t="shared" si="50"/>
        <v>34.666593276878828</v>
      </c>
      <c r="H113" s="3">
        <f t="shared" si="51"/>
        <v>3.2801430742984188</v>
      </c>
      <c r="I113" s="3">
        <f t="shared" si="53"/>
        <v>31.295480854209149</v>
      </c>
      <c r="J113" s="5">
        <f t="shared" si="54"/>
        <v>0.10584340416545288</v>
      </c>
      <c r="K113" s="5">
        <f t="shared" si="52"/>
        <v>0.10584340416545288</v>
      </c>
    </row>
    <row r="114" spans="2:14" x14ac:dyDescent="0.25">
      <c r="B114" s="3" t="s">
        <v>12</v>
      </c>
      <c r="C114" s="4">
        <v>2023</v>
      </c>
      <c r="D114" s="4">
        <v>39</v>
      </c>
      <c r="E114" s="3">
        <f t="shared" si="48"/>
        <v>37.278245302082418</v>
      </c>
      <c r="F114" s="3">
        <f t="shared" si="49"/>
        <v>35.651284332558888</v>
      </c>
      <c r="G114" s="3">
        <f t="shared" si="50"/>
        <v>38.905206271605948</v>
      </c>
      <c r="H114" s="3">
        <f t="shared" si="51"/>
        <v>3.796242262221571</v>
      </c>
      <c r="I114" s="3">
        <f t="shared" si="53"/>
        <v>37.94673635117725</v>
      </c>
      <c r="J114" s="5">
        <f t="shared" si="54"/>
        <v>2.7006760226224349E-2</v>
      </c>
      <c r="K114" s="5">
        <f t="shared" si="52"/>
        <v>2.7006760226224349E-2</v>
      </c>
    </row>
    <row r="115" spans="2:14" x14ac:dyDescent="0.25">
      <c r="B115" s="3" t="s">
        <v>13</v>
      </c>
      <c r="C115" s="4">
        <v>2024</v>
      </c>
      <c r="D115" s="4">
        <v>48</v>
      </c>
      <c r="E115" s="3">
        <f t="shared" si="48"/>
        <v>44.783473590624723</v>
      </c>
      <c r="F115" s="3">
        <f t="shared" si="49"/>
        <v>42.04381681320497</v>
      </c>
      <c r="G115" s="3">
        <f t="shared" si="50"/>
        <v>47.523130368044477</v>
      </c>
      <c r="H115" s="3">
        <f t="shared" si="51"/>
        <v>6.3925324806460919</v>
      </c>
      <c r="I115" s="3">
        <f t="shared" si="53"/>
        <v>42.701448533827516</v>
      </c>
      <c r="J115" s="5">
        <f t="shared" si="54"/>
        <v>0.11038648887859341</v>
      </c>
      <c r="K115" s="5">
        <f t="shared" si="52"/>
        <v>0.11038648887859341</v>
      </c>
    </row>
    <row r="116" spans="2:14" x14ac:dyDescent="0.25">
      <c r="B116" s="3" t="s">
        <v>2</v>
      </c>
      <c r="C116" s="4">
        <v>2024</v>
      </c>
      <c r="D116" s="4">
        <v>52</v>
      </c>
      <c r="E116" s="3">
        <f t="shared" si="48"/>
        <v>49.835042077187417</v>
      </c>
      <c r="F116" s="3">
        <f t="shared" si="49"/>
        <v>47.497674497992676</v>
      </c>
      <c r="G116" s="3">
        <f t="shared" si="50"/>
        <v>52.172409656382158</v>
      </c>
      <c r="H116" s="3">
        <f t="shared" si="51"/>
        <v>5.453857684787728</v>
      </c>
      <c r="I116" s="3">
        <f t="shared" si="53"/>
        <v>53.915662848690566</v>
      </c>
      <c r="J116" s="5">
        <f t="shared" si="54"/>
        <v>-3.6839670167126269E-2</v>
      </c>
      <c r="K116" s="5">
        <f t="shared" si="52"/>
        <v>3.6839670167126269E-2</v>
      </c>
    </row>
    <row r="117" spans="2:14" x14ac:dyDescent="0.25">
      <c r="B117" s="3" t="s">
        <v>4</v>
      </c>
      <c r="C117" s="4">
        <v>2024</v>
      </c>
      <c r="D117" s="4">
        <v>47</v>
      </c>
      <c r="E117" s="3">
        <f t="shared" si="48"/>
        <v>47.85051262315622</v>
      </c>
      <c r="F117" s="3">
        <f t="shared" si="49"/>
        <v>47.744661185607157</v>
      </c>
      <c r="G117" s="3">
        <f t="shared" si="50"/>
        <v>47.956364060705283</v>
      </c>
      <c r="H117" s="3">
        <f t="shared" si="51"/>
        <v>0.24698668761448064</v>
      </c>
      <c r="I117" s="3">
        <f t="shared" si="53"/>
        <v>57.626267341169886</v>
      </c>
      <c r="J117" s="5">
        <f t="shared" si="54"/>
        <v>-0.22609079449297628</v>
      </c>
      <c r="K117" s="5">
        <f t="shared" si="52"/>
        <v>0.22609079449297628</v>
      </c>
    </row>
    <row r="118" spans="2:14" x14ac:dyDescent="0.25">
      <c r="B118" s="3" t="s">
        <v>3</v>
      </c>
      <c r="C118" s="4">
        <v>2024</v>
      </c>
      <c r="D118" s="4">
        <v>40</v>
      </c>
      <c r="E118" s="3">
        <f t="shared" si="48"/>
        <v>42.355153786946865</v>
      </c>
      <c r="F118" s="3">
        <f t="shared" si="49"/>
        <v>43.972006006544952</v>
      </c>
      <c r="G118" s="3">
        <f t="shared" si="50"/>
        <v>40.738301567348778</v>
      </c>
      <c r="H118" s="3">
        <f t="shared" si="51"/>
        <v>-3.7726551790622032</v>
      </c>
      <c r="I118" s="3">
        <f t="shared" si="53"/>
        <v>48.203350748319764</v>
      </c>
      <c r="J118" s="5">
        <f t="shared" si="54"/>
        <v>-0.20508376870799411</v>
      </c>
      <c r="K118" s="5">
        <f t="shared" si="52"/>
        <v>0.20508376870799411</v>
      </c>
    </row>
    <row r="119" spans="2:14" x14ac:dyDescent="0.25">
      <c r="B119" s="3" t="s">
        <v>5</v>
      </c>
      <c r="C119" s="4">
        <v>2024</v>
      </c>
      <c r="D119" s="4">
        <v>36</v>
      </c>
      <c r="E119" s="3">
        <f t="shared" si="48"/>
        <v>37.90654613608406</v>
      </c>
      <c r="F119" s="3">
        <f t="shared" si="49"/>
        <v>39.726184097222323</v>
      </c>
      <c r="G119" s="3">
        <f t="shared" si="50"/>
        <v>36.086908174945798</v>
      </c>
      <c r="H119" s="3">
        <f t="shared" si="51"/>
        <v>-4.2458219093226131</v>
      </c>
      <c r="I119" s="3">
        <f t="shared" si="53"/>
        <v>36.965646388286572</v>
      </c>
      <c r="J119" s="5">
        <f t="shared" si="54"/>
        <v>-2.6823510785738119E-2</v>
      </c>
      <c r="K119" s="5">
        <f t="shared" si="52"/>
        <v>2.6823510785738119E-2</v>
      </c>
    </row>
    <row r="120" spans="2:14" x14ac:dyDescent="0.25">
      <c r="B120" s="3" t="s">
        <v>6</v>
      </c>
      <c r="C120" s="4">
        <v>2024</v>
      </c>
      <c r="D120" s="4">
        <v>35</v>
      </c>
      <c r="E120" s="3">
        <f t="shared" si="48"/>
        <v>35.871963840825217</v>
      </c>
      <c r="F120" s="3">
        <f t="shared" si="49"/>
        <v>37.028229917744348</v>
      </c>
      <c r="G120" s="3">
        <f t="shared" si="50"/>
        <v>34.715697763906086</v>
      </c>
      <c r="H120" s="3">
        <f t="shared" si="51"/>
        <v>-2.6979541794779727</v>
      </c>
      <c r="I120" s="3">
        <f t="shared" si="53"/>
        <v>31.841086265623183</v>
      </c>
      <c r="J120" s="5">
        <f t="shared" si="54"/>
        <v>9.0254678125051918E-2</v>
      </c>
      <c r="K120" s="5">
        <f t="shared" si="52"/>
        <v>9.0254678125051918E-2</v>
      </c>
    </row>
    <row r="121" spans="2:14" x14ac:dyDescent="0.25">
      <c r="B121" s="3" t="s">
        <v>7</v>
      </c>
      <c r="C121" s="4">
        <v>2024</v>
      </c>
      <c r="D121" s="4">
        <v>31</v>
      </c>
      <c r="E121" s="3">
        <f t="shared" si="48"/>
        <v>32.461589152247562</v>
      </c>
      <c r="F121" s="3">
        <f t="shared" si="49"/>
        <v>33.831581381896598</v>
      </c>
      <c r="G121" s="3">
        <f t="shared" si="50"/>
        <v>31.091596922598526</v>
      </c>
      <c r="H121" s="3">
        <f t="shared" si="51"/>
        <v>-3.1966485358477499</v>
      </c>
      <c r="I121" s="3">
        <f t="shared" si="53"/>
        <v>32.017743584428111</v>
      </c>
      <c r="J121" s="5">
        <f t="shared" si="54"/>
        <v>-3.2830438207358405E-2</v>
      </c>
      <c r="K121" s="5">
        <f t="shared" si="52"/>
        <v>3.2830438207358405E-2</v>
      </c>
    </row>
    <row r="122" spans="2:14" x14ac:dyDescent="0.25">
      <c r="B122" s="6" t="s">
        <v>8</v>
      </c>
      <c r="C122" s="7">
        <v>2024</v>
      </c>
      <c r="D122" s="6"/>
      <c r="E122" s="8"/>
      <c r="F122" s="8"/>
      <c r="G122" s="8"/>
      <c r="H122" s="8"/>
      <c r="I122" s="9">
        <f t="shared" si="53"/>
        <v>27.894948386750777</v>
      </c>
      <c r="J122" s="6" t="s">
        <v>21</v>
      </c>
      <c r="K122" s="10">
        <f>100/36*SUM(K87:K121)</f>
        <v>7.8978861806413461</v>
      </c>
    </row>
    <row r="127" spans="2:14" x14ac:dyDescent="0.25">
      <c r="B127" s="11" t="s">
        <v>0</v>
      </c>
      <c r="C127" s="11" t="s">
        <v>1</v>
      </c>
      <c r="D127" s="11" t="s">
        <v>22</v>
      </c>
      <c r="E127" s="11" t="s">
        <v>14</v>
      </c>
      <c r="F127" s="11" t="s">
        <v>15</v>
      </c>
      <c r="G127" s="11" t="s">
        <v>16</v>
      </c>
      <c r="H127" s="11" t="s">
        <v>17</v>
      </c>
      <c r="I127" s="11" t="s">
        <v>18</v>
      </c>
      <c r="J127" s="11" t="s">
        <v>19</v>
      </c>
      <c r="K127" s="11" t="s">
        <v>20</v>
      </c>
      <c r="N127" s="12">
        <v>0.6</v>
      </c>
    </row>
    <row r="128" spans="2:14" x14ac:dyDescent="0.25">
      <c r="B128" s="3" t="s">
        <v>8</v>
      </c>
      <c r="C128" s="3">
        <v>2021</v>
      </c>
      <c r="D128" s="3">
        <v>20</v>
      </c>
      <c r="E128" s="3">
        <v>20</v>
      </c>
      <c r="F128" s="3">
        <v>20</v>
      </c>
      <c r="G128" s="3">
        <v>20</v>
      </c>
      <c r="H128" s="3">
        <v>0</v>
      </c>
      <c r="I128" s="3"/>
      <c r="J128" s="4"/>
      <c r="K128" s="4"/>
      <c r="N128" s="12">
        <v>0.4</v>
      </c>
    </row>
    <row r="129" spans="2:11" x14ac:dyDescent="0.25">
      <c r="B129" s="3" t="s">
        <v>9</v>
      </c>
      <c r="C129" s="3">
        <v>2021</v>
      </c>
      <c r="D129" s="3">
        <v>25</v>
      </c>
      <c r="E129" s="3">
        <f>($N$127)*D129+($N$128)*E128</f>
        <v>23</v>
      </c>
      <c r="F129" s="3">
        <f>($N$127)*E129+($N$128)*F128</f>
        <v>21.799999999999997</v>
      </c>
      <c r="G129" s="3">
        <f>2*(E129)-(F129)</f>
        <v>24.200000000000003</v>
      </c>
      <c r="H129" s="3">
        <f t="shared" ref="H129:H163" si="55">$N$127/$N$128*(E129-F129)</f>
        <v>1.800000000000004</v>
      </c>
      <c r="I129" s="3">
        <f>G128+H128</f>
        <v>20</v>
      </c>
      <c r="J129" s="5">
        <f>(D129-I129)/D129</f>
        <v>0.2</v>
      </c>
      <c r="K129" s="5">
        <f>ABS(J129)</f>
        <v>0.2</v>
      </c>
    </row>
    <row r="130" spans="2:11" x14ac:dyDescent="0.25">
      <c r="B130" s="3" t="s">
        <v>10</v>
      </c>
      <c r="C130" s="3">
        <v>2021</v>
      </c>
      <c r="D130" s="3">
        <v>27</v>
      </c>
      <c r="E130" s="3">
        <f t="shared" ref="E130:E163" si="56">($N$127)*D130+($N$128)*E129</f>
        <v>25.4</v>
      </c>
      <c r="F130" s="3">
        <f t="shared" ref="F130:F163" si="57">($N$127)*E130+($N$128)*F129</f>
        <v>23.959999999999997</v>
      </c>
      <c r="G130" s="3">
        <f t="shared" ref="G130:G138" si="58">2*(E130)-(F130)</f>
        <v>26.84</v>
      </c>
      <c r="H130" s="3">
        <f t="shared" si="55"/>
        <v>2.1600000000000015</v>
      </c>
      <c r="I130" s="3">
        <f>G129+H129</f>
        <v>26.000000000000007</v>
      </c>
      <c r="J130" s="5">
        <f>(D130-I130)/D130</f>
        <v>3.7037037037036771E-2</v>
      </c>
      <c r="K130" s="5">
        <f t="shared" ref="K130:K163" si="59">ABS(J130)</f>
        <v>3.7037037037036771E-2</v>
      </c>
    </row>
    <row r="131" spans="2:11" x14ac:dyDescent="0.25">
      <c r="B131" s="3" t="s">
        <v>11</v>
      </c>
      <c r="C131" s="3">
        <v>2021</v>
      </c>
      <c r="D131" s="3">
        <v>30</v>
      </c>
      <c r="E131" s="3">
        <f t="shared" si="56"/>
        <v>28.16</v>
      </c>
      <c r="F131" s="3">
        <f t="shared" si="57"/>
        <v>26.48</v>
      </c>
      <c r="G131" s="3">
        <f t="shared" si="58"/>
        <v>29.84</v>
      </c>
      <c r="H131" s="3">
        <f t="shared" si="55"/>
        <v>2.5199999999999991</v>
      </c>
      <c r="I131" s="3">
        <f t="shared" ref="I131:I164" si="60">G130+H130</f>
        <v>29</v>
      </c>
      <c r="J131" s="5">
        <f t="shared" ref="J131:J163" si="61">(D131-I131)/D131</f>
        <v>3.3333333333333333E-2</v>
      </c>
      <c r="K131" s="5">
        <f t="shared" si="59"/>
        <v>3.3333333333333333E-2</v>
      </c>
    </row>
    <row r="132" spans="2:11" x14ac:dyDescent="0.25">
      <c r="B132" s="3" t="s">
        <v>12</v>
      </c>
      <c r="C132" s="3">
        <v>2021</v>
      </c>
      <c r="D132" s="3">
        <v>32</v>
      </c>
      <c r="E132" s="3">
        <f t="shared" si="56"/>
        <v>30.463999999999999</v>
      </c>
      <c r="F132" s="3">
        <f t="shared" si="57"/>
        <v>28.870399999999997</v>
      </c>
      <c r="G132" s="3">
        <f t="shared" si="58"/>
        <v>32.057600000000001</v>
      </c>
      <c r="H132" s="3">
        <f t="shared" si="55"/>
        <v>2.3904000000000027</v>
      </c>
      <c r="I132" s="3">
        <f t="shared" si="60"/>
        <v>32.36</v>
      </c>
      <c r="J132" s="5">
        <f t="shared" si="61"/>
        <v>-1.1249999999999982E-2</v>
      </c>
      <c r="K132" s="5">
        <f t="shared" si="59"/>
        <v>1.1249999999999982E-2</v>
      </c>
    </row>
    <row r="133" spans="2:11" x14ac:dyDescent="0.25">
      <c r="B133" s="3" t="s">
        <v>13</v>
      </c>
      <c r="C133" s="3">
        <v>2021</v>
      </c>
      <c r="D133" s="3">
        <v>33</v>
      </c>
      <c r="E133" s="3">
        <f t="shared" si="56"/>
        <v>31.985600000000002</v>
      </c>
      <c r="F133" s="3">
        <f t="shared" si="57"/>
        <v>30.739519999999999</v>
      </c>
      <c r="G133" s="3">
        <f t="shared" si="58"/>
        <v>33.231680000000004</v>
      </c>
      <c r="H133" s="3">
        <f t="shared" si="55"/>
        <v>1.8691200000000039</v>
      </c>
      <c r="I133" s="3">
        <f t="shared" si="60"/>
        <v>34.448</v>
      </c>
      <c r="J133" s="5">
        <f t="shared" si="61"/>
        <v>-4.3878787878787892E-2</v>
      </c>
      <c r="K133" s="5">
        <f t="shared" si="59"/>
        <v>4.3878787878787892E-2</v>
      </c>
    </row>
    <row r="134" spans="2:11" x14ac:dyDescent="0.25">
      <c r="B134" s="3" t="s">
        <v>2</v>
      </c>
      <c r="C134" s="3">
        <v>2021</v>
      </c>
      <c r="D134" s="3">
        <v>33</v>
      </c>
      <c r="E134" s="3">
        <f t="shared" si="56"/>
        <v>32.594239999999999</v>
      </c>
      <c r="F134" s="3">
        <f t="shared" si="57"/>
        <v>31.852352</v>
      </c>
      <c r="G134" s="3">
        <f t="shared" si="58"/>
        <v>33.336128000000002</v>
      </c>
      <c r="H134" s="3">
        <f t="shared" si="55"/>
        <v>1.1128319999999989</v>
      </c>
      <c r="I134" s="3">
        <f t="shared" si="60"/>
        <v>35.100800000000007</v>
      </c>
      <c r="J134" s="5">
        <f t="shared" si="61"/>
        <v>-6.3660606060606265E-2</v>
      </c>
      <c r="K134" s="5">
        <f t="shared" si="59"/>
        <v>6.3660606060606265E-2</v>
      </c>
    </row>
    <row r="135" spans="2:11" x14ac:dyDescent="0.25">
      <c r="B135" s="3" t="s">
        <v>4</v>
      </c>
      <c r="C135" s="3">
        <v>2022</v>
      </c>
      <c r="D135" s="3">
        <v>30</v>
      </c>
      <c r="E135" s="3">
        <f t="shared" si="56"/>
        <v>31.037696</v>
      </c>
      <c r="F135" s="3">
        <f t="shared" si="57"/>
        <v>31.363558399999999</v>
      </c>
      <c r="G135" s="3">
        <f t="shared" si="58"/>
        <v>30.711833600000002</v>
      </c>
      <c r="H135" s="3">
        <f t="shared" si="55"/>
        <v>-0.48879359999999744</v>
      </c>
      <c r="I135" s="3">
        <f t="shared" si="60"/>
        <v>34.44896</v>
      </c>
      <c r="J135" s="5">
        <f t="shared" si="61"/>
        <v>-0.14829866666666666</v>
      </c>
      <c r="K135" s="5">
        <f t="shared" si="59"/>
        <v>0.14829866666666666</v>
      </c>
    </row>
    <row r="136" spans="2:11" x14ac:dyDescent="0.25">
      <c r="B136" s="3" t="s">
        <v>3</v>
      </c>
      <c r="C136" s="3">
        <v>2022</v>
      </c>
      <c r="D136" s="3">
        <v>28</v>
      </c>
      <c r="E136" s="3">
        <f t="shared" si="56"/>
        <v>29.215078400000003</v>
      </c>
      <c r="F136" s="3">
        <f t="shared" si="57"/>
        <v>30.074470400000003</v>
      </c>
      <c r="G136" s="3">
        <f t="shared" si="58"/>
        <v>28.355686400000003</v>
      </c>
      <c r="H136" s="3">
        <f t="shared" si="55"/>
        <v>-1.2890879999999993</v>
      </c>
      <c r="I136" s="3">
        <f t="shared" si="60"/>
        <v>30.223040000000005</v>
      </c>
      <c r="J136" s="5">
        <f t="shared" si="61"/>
        <v>-7.9394285714285875E-2</v>
      </c>
      <c r="K136" s="5">
        <f t="shared" si="59"/>
        <v>7.9394285714285875E-2</v>
      </c>
    </row>
    <row r="137" spans="2:11" x14ac:dyDescent="0.25">
      <c r="B137" s="3" t="s">
        <v>5</v>
      </c>
      <c r="C137" s="3">
        <v>2022</v>
      </c>
      <c r="D137" s="3">
        <v>26</v>
      </c>
      <c r="E137" s="3">
        <f t="shared" si="56"/>
        <v>27.286031360000003</v>
      </c>
      <c r="F137" s="3">
        <f t="shared" si="57"/>
        <v>28.401406976000004</v>
      </c>
      <c r="G137" s="3">
        <f t="shared" si="58"/>
        <v>26.170655744000001</v>
      </c>
      <c r="H137" s="3">
        <f t="shared" si="55"/>
        <v>-1.673063424000002</v>
      </c>
      <c r="I137" s="3">
        <f t="shared" si="60"/>
        <v>27.066598400000004</v>
      </c>
      <c r="J137" s="5">
        <f t="shared" si="61"/>
        <v>-4.102301538461553E-2</v>
      </c>
      <c r="K137" s="5">
        <f t="shared" si="59"/>
        <v>4.102301538461553E-2</v>
      </c>
    </row>
    <row r="138" spans="2:11" x14ac:dyDescent="0.25">
      <c r="B138" s="3" t="s">
        <v>6</v>
      </c>
      <c r="C138" s="3">
        <v>2022</v>
      </c>
      <c r="D138" s="3">
        <v>26</v>
      </c>
      <c r="E138" s="3">
        <f t="shared" si="56"/>
        <v>26.514412544000002</v>
      </c>
      <c r="F138" s="3">
        <f t="shared" si="57"/>
        <v>27.269210316800006</v>
      </c>
      <c r="G138" s="3">
        <f t="shared" si="58"/>
        <v>25.759614771199999</v>
      </c>
      <c r="H138" s="3">
        <f t="shared" si="55"/>
        <v>-1.132196659200005</v>
      </c>
      <c r="I138" s="3">
        <f t="shared" si="60"/>
        <v>24.497592319999999</v>
      </c>
      <c r="J138" s="5">
        <f t="shared" si="61"/>
        <v>5.7784910769230806E-2</v>
      </c>
      <c r="K138" s="5">
        <f t="shared" si="59"/>
        <v>5.7784910769230806E-2</v>
      </c>
    </row>
    <row r="139" spans="2:11" x14ac:dyDescent="0.25">
      <c r="B139" s="3" t="s">
        <v>7</v>
      </c>
      <c r="C139" s="3">
        <v>2022</v>
      </c>
      <c r="D139" s="3">
        <v>22</v>
      </c>
      <c r="E139" s="3">
        <f t="shared" si="56"/>
        <v>23.805765017600002</v>
      </c>
      <c r="F139" s="3">
        <f t="shared" si="57"/>
        <v>25.191143137280005</v>
      </c>
      <c r="G139" s="3">
        <f>2*(E139)-(F139)</f>
        <v>22.42038689792</v>
      </c>
      <c r="H139" s="3">
        <f t="shared" si="55"/>
        <v>-2.0780671795200027</v>
      </c>
      <c r="I139" s="3">
        <f t="shared" si="60"/>
        <v>24.627418111999994</v>
      </c>
      <c r="J139" s="5">
        <f t="shared" si="61"/>
        <v>-0.11942809599999972</v>
      </c>
      <c r="K139" s="5">
        <f t="shared" si="59"/>
        <v>0.11942809599999972</v>
      </c>
    </row>
    <row r="140" spans="2:11" x14ac:dyDescent="0.25">
      <c r="B140" s="3" t="s">
        <v>8</v>
      </c>
      <c r="C140" s="3">
        <v>2022</v>
      </c>
      <c r="D140" s="4">
        <v>20</v>
      </c>
      <c r="E140" s="3">
        <f t="shared" si="56"/>
        <v>21.522306007040001</v>
      </c>
      <c r="F140" s="3">
        <f t="shared" si="57"/>
        <v>22.989840859136002</v>
      </c>
      <c r="G140" s="3">
        <f t="shared" ref="G140:G163" si="62">2*(E140)-(F140)</f>
        <v>20.054771154944</v>
      </c>
      <c r="H140" s="3">
        <f t="shared" si="55"/>
        <v>-2.2013022781440017</v>
      </c>
      <c r="I140" s="3">
        <f t="shared" si="60"/>
        <v>20.342319718399999</v>
      </c>
      <c r="J140" s="5">
        <f t="shared" si="61"/>
        <v>-1.7115985919999945E-2</v>
      </c>
      <c r="K140" s="5">
        <f t="shared" si="59"/>
        <v>1.7115985919999945E-2</v>
      </c>
    </row>
    <row r="141" spans="2:11" x14ac:dyDescent="0.25">
      <c r="B141" s="3" t="s">
        <v>9</v>
      </c>
      <c r="C141" s="3">
        <v>2022</v>
      </c>
      <c r="D141" s="4">
        <v>25</v>
      </c>
      <c r="E141" s="3">
        <f t="shared" si="56"/>
        <v>23.608922402815999</v>
      </c>
      <c r="F141" s="3">
        <f t="shared" si="57"/>
        <v>23.361289785343999</v>
      </c>
      <c r="G141" s="3">
        <f t="shared" si="62"/>
        <v>23.856555020287999</v>
      </c>
      <c r="H141" s="3">
        <f t="shared" si="55"/>
        <v>0.37144892620800002</v>
      </c>
      <c r="I141" s="3">
        <f t="shared" si="60"/>
        <v>17.853468876799997</v>
      </c>
      <c r="J141" s="5">
        <f t="shared" si="61"/>
        <v>0.28586124492800008</v>
      </c>
      <c r="K141" s="5">
        <f t="shared" si="59"/>
        <v>0.28586124492800008</v>
      </c>
    </row>
    <row r="142" spans="2:11" x14ac:dyDescent="0.25">
      <c r="B142" s="3" t="s">
        <v>10</v>
      </c>
      <c r="C142" s="3">
        <v>2022</v>
      </c>
      <c r="D142" s="4">
        <v>29</v>
      </c>
      <c r="E142" s="3">
        <f t="shared" si="56"/>
        <v>26.843568961126401</v>
      </c>
      <c r="F142" s="3">
        <f t="shared" si="57"/>
        <v>25.450657290813439</v>
      </c>
      <c r="G142" s="3">
        <f t="shared" si="62"/>
        <v>28.236480631439363</v>
      </c>
      <c r="H142" s="3">
        <f t="shared" si="55"/>
        <v>2.0893675054694429</v>
      </c>
      <c r="I142" s="3">
        <f t="shared" si="60"/>
        <v>24.228003946495999</v>
      </c>
      <c r="J142" s="5">
        <f t="shared" si="61"/>
        <v>0.1645515880518621</v>
      </c>
      <c r="K142" s="5">
        <f t="shared" si="59"/>
        <v>0.1645515880518621</v>
      </c>
    </row>
    <row r="143" spans="2:11" x14ac:dyDescent="0.25">
      <c r="B143" s="3" t="s">
        <v>11</v>
      </c>
      <c r="C143" s="3">
        <v>2022</v>
      </c>
      <c r="D143" s="4">
        <v>30</v>
      </c>
      <c r="E143" s="3">
        <f t="shared" si="56"/>
        <v>28.737427584450561</v>
      </c>
      <c r="F143" s="3">
        <f t="shared" si="57"/>
        <v>27.422719466995712</v>
      </c>
      <c r="G143" s="3">
        <f t="shared" si="62"/>
        <v>30.05213570190541</v>
      </c>
      <c r="H143" s="3">
        <f t="shared" si="55"/>
        <v>1.9720621761822732</v>
      </c>
      <c r="I143" s="3">
        <f t="shared" si="60"/>
        <v>30.325848136908807</v>
      </c>
      <c r="J143" s="5">
        <f t="shared" si="61"/>
        <v>-1.0861604563626889E-2</v>
      </c>
      <c r="K143" s="5">
        <f t="shared" si="59"/>
        <v>1.0861604563626889E-2</v>
      </c>
    </row>
    <row r="144" spans="2:11" x14ac:dyDescent="0.25">
      <c r="B144" s="3" t="s">
        <v>12</v>
      </c>
      <c r="C144" s="3">
        <v>2022</v>
      </c>
      <c r="D144" s="4">
        <v>33</v>
      </c>
      <c r="E144" s="3">
        <f t="shared" si="56"/>
        <v>31.294971033780225</v>
      </c>
      <c r="F144" s="3">
        <f t="shared" si="57"/>
        <v>29.746070407066419</v>
      </c>
      <c r="G144" s="3">
        <f t="shared" si="62"/>
        <v>32.843871660494031</v>
      </c>
      <c r="H144" s="3">
        <f t="shared" si="55"/>
        <v>2.3233509400707084</v>
      </c>
      <c r="I144" s="3">
        <f t="shared" si="60"/>
        <v>32.024197878087683</v>
      </c>
      <c r="J144" s="5">
        <f t="shared" si="61"/>
        <v>2.9569761270070199E-2</v>
      </c>
      <c r="K144" s="5">
        <f t="shared" si="59"/>
        <v>2.9569761270070199E-2</v>
      </c>
    </row>
    <row r="145" spans="2:11" x14ac:dyDescent="0.25">
      <c r="B145" s="3" t="s">
        <v>13</v>
      </c>
      <c r="C145" s="3">
        <v>2022</v>
      </c>
      <c r="D145" s="4">
        <v>37</v>
      </c>
      <c r="E145" s="3">
        <f t="shared" si="56"/>
        <v>34.717988413512089</v>
      </c>
      <c r="F145" s="3">
        <f t="shared" si="57"/>
        <v>32.729221210933822</v>
      </c>
      <c r="G145" s="3">
        <f t="shared" si="62"/>
        <v>36.706755616090355</v>
      </c>
      <c r="H145" s="3">
        <f t="shared" si="55"/>
        <v>2.9831508038673991</v>
      </c>
      <c r="I145" s="3">
        <f t="shared" si="60"/>
        <v>35.167222600564742</v>
      </c>
      <c r="J145" s="5">
        <f t="shared" si="61"/>
        <v>4.9534524309061037E-2</v>
      </c>
      <c r="K145" s="5">
        <f t="shared" si="59"/>
        <v>4.9534524309061037E-2</v>
      </c>
    </row>
    <row r="146" spans="2:11" x14ac:dyDescent="0.25">
      <c r="B146" s="3" t="s">
        <v>2</v>
      </c>
      <c r="C146" s="3">
        <v>2022</v>
      </c>
      <c r="D146" s="4">
        <v>39</v>
      </c>
      <c r="E146" s="3">
        <f t="shared" si="56"/>
        <v>37.287195365404834</v>
      </c>
      <c r="F146" s="3">
        <f t="shared" si="57"/>
        <v>35.464005703616429</v>
      </c>
      <c r="G146" s="3">
        <f t="shared" si="62"/>
        <v>39.110385027193239</v>
      </c>
      <c r="H146" s="3">
        <f t="shared" si="55"/>
        <v>2.7347844926826066</v>
      </c>
      <c r="I146" s="3">
        <f t="shared" si="60"/>
        <v>39.689906419957751</v>
      </c>
      <c r="J146" s="5">
        <f t="shared" si="61"/>
        <v>-1.7689908204044896E-2</v>
      </c>
      <c r="K146" s="5">
        <f t="shared" si="59"/>
        <v>1.7689908204044896E-2</v>
      </c>
    </row>
    <row r="147" spans="2:11" x14ac:dyDescent="0.25">
      <c r="B147" s="3" t="s">
        <v>4</v>
      </c>
      <c r="C147" s="4">
        <v>2023</v>
      </c>
      <c r="D147" s="4">
        <v>35</v>
      </c>
      <c r="E147" s="3">
        <f t="shared" si="56"/>
        <v>35.914878146161932</v>
      </c>
      <c r="F147" s="3">
        <f t="shared" si="57"/>
        <v>35.734529169143734</v>
      </c>
      <c r="G147" s="3">
        <f t="shared" si="62"/>
        <v>36.09522712318013</v>
      </c>
      <c r="H147" s="3">
        <f t="shared" si="55"/>
        <v>0.27052346552729739</v>
      </c>
      <c r="I147" s="3">
        <f t="shared" si="60"/>
        <v>41.845169519875846</v>
      </c>
      <c r="J147" s="5">
        <f t="shared" si="61"/>
        <v>-0.19557627199645275</v>
      </c>
      <c r="K147" s="5">
        <f t="shared" si="59"/>
        <v>0.19557627199645275</v>
      </c>
    </row>
    <row r="148" spans="2:11" x14ac:dyDescent="0.25">
      <c r="B148" s="3" t="s">
        <v>3</v>
      </c>
      <c r="C148" s="4">
        <v>2023</v>
      </c>
      <c r="D148" s="4">
        <v>31</v>
      </c>
      <c r="E148" s="3">
        <f t="shared" si="56"/>
        <v>32.96595125846477</v>
      </c>
      <c r="F148" s="3">
        <f t="shared" si="57"/>
        <v>34.073382422736358</v>
      </c>
      <c r="G148" s="3">
        <f t="shared" si="62"/>
        <v>31.858520094193182</v>
      </c>
      <c r="H148" s="3">
        <f t="shared" si="55"/>
        <v>-1.6611467464073824</v>
      </c>
      <c r="I148" s="3">
        <f t="shared" si="60"/>
        <v>36.365750588707428</v>
      </c>
      <c r="J148" s="5">
        <f t="shared" si="61"/>
        <v>-0.17308872866798156</v>
      </c>
      <c r="K148" s="5">
        <f t="shared" si="59"/>
        <v>0.17308872866798156</v>
      </c>
    </row>
    <row r="149" spans="2:11" x14ac:dyDescent="0.25">
      <c r="B149" s="3" t="s">
        <v>5</v>
      </c>
      <c r="C149" s="4">
        <v>2023</v>
      </c>
      <c r="D149" s="4">
        <v>29</v>
      </c>
      <c r="E149" s="3">
        <f t="shared" si="56"/>
        <v>30.586380503385907</v>
      </c>
      <c r="F149" s="3">
        <f t="shared" si="57"/>
        <v>31.981181271126086</v>
      </c>
      <c r="G149" s="3">
        <f t="shared" si="62"/>
        <v>29.191579735645728</v>
      </c>
      <c r="H149" s="3">
        <f t="shared" si="55"/>
        <v>-2.0922011516102681</v>
      </c>
      <c r="I149" s="3">
        <f t="shared" si="60"/>
        <v>30.197373347785799</v>
      </c>
      <c r="J149" s="5">
        <f t="shared" si="61"/>
        <v>-4.1288736130544797E-2</v>
      </c>
      <c r="K149" s="5">
        <f t="shared" si="59"/>
        <v>4.1288736130544797E-2</v>
      </c>
    </row>
    <row r="150" spans="2:11" x14ac:dyDescent="0.25">
      <c r="B150" s="3" t="s">
        <v>6</v>
      </c>
      <c r="C150" s="4">
        <v>2023</v>
      </c>
      <c r="D150" s="4">
        <v>29</v>
      </c>
      <c r="E150" s="3">
        <f t="shared" si="56"/>
        <v>29.63455220135436</v>
      </c>
      <c r="F150" s="3">
        <f t="shared" si="57"/>
        <v>30.573203829263051</v>
      </c>
      <c r="G150" s="3">
        <f t="shared" si="62"/>
        <v>28.69590057344567</v>
      </c>
      <c r="H150" s="3">
        <f t="shared" si="55"/>
        <v>-1.4079774418630355</v>
      </c>
      <c r="I150" s="3">
        <f t="shared" si="60"/>
        <v>27.09937858403546</v>
      </c>
      <c r="J150" s="5">
        <f t="shared" si="61"/>
        <v>6.5538669516018624E-2</v>
      </c>
      <c r="K150" s="5">
        <f t="shared" si="59"/>
        <v>6.5538669516018624E-2</v>
      </c>
    </row>
    <row r="151" spans="2:11" x14ac:dyDescent="0.25">
      <c r="B151" s="3" t="s">
        <v>7</v>
      </c>
      <c r="C151" s="4">
        <v>2023</v>
      </c>
      <c r="D151" s="4">
        <v>27</v>
      </c>
      <c r="E151" s="3">
        <f t="shared" si="56"/>
        <v>28.053820880541743</v>
      </c>
      <c r="F151" s="3">
        <f t="shared" si="57"/>
        <v>29.061574060030267</v>
      </c>
      <c r="G151" s="3">
        <f t="shared" si="62"/>
        <v>27.046067701053218</v>
      </c>
      <c r="H151" s="3">
        <f t="shared" si="55"/>
        <v>-1.5116297692327867</v>
      </c>
      <c r="I151" s="3">
        <f t="shared" si="60"/>
        <v>27.287923131582634</v>
      </c>
      <c r="J151" s="5">
        <f t="shared" si="61"/>
        <v>-1.0663819688245698E-2</v>
      </c>
      <c r="K151" s="5">
        <f t="shared" si="59"/>
        <v>1.0663819688245698E-2</v>
      </c>
    </row>
    <row r="152" spans="2:11" x14ac:dyDescent="0.25">
      <c r="B152" s="3" t="s">
        <v>8</v>
      </c>
      <c r="C152" s="4">
        <v>2023</v>
      </c>
      <c r="D152" s="4">
        <v>25</v>
      </c>
      <c r="E152" s="3">
        <f t="shared" si="56"/>
        <v>26.221528352216698</v>
      </c>
      <c r="F152" s="3">
        <f t="shared" si="57"/>
        <v>27.357546635342125</v>
      </c>
      <c r="G152" s="3">
        <f t="shared" si="62"/>
        <v>25.085510069091271</v>
      </c>
      <c r="H152" s="3">
        <f t="shared" si="55"/>
        <v>-1.7040274246881404</v>
      </c>
      <c r="I152" s="3">
        <f t="shared" si="60"/>
        <v>25.534437931820431</v>
      </c>
      <c r="J152" s="5">
        <f t="shared" si="61"/>
        <v>-2.1377517272817243E-2</v>
      </c>
      <c r="K152" s="5">
        <f t="shared" si="59"/>
        <v>2.1377517272817243E-2</v>
      </c>
    </row>
    <row r="153" spans="2:11" x14ac:dyDescent="0.25">
      <c r="B153" s="3" t="s">
        <v>9</v>
      </c>
      <c r="C153" s="4">
        <v>2023</v>
      </c>
      <c r="D153" s="4">
        <v>28</v>
      </c>
      <c r="E153" s="3">
        <f t="shared" si="56"/>
        <v>27.288611340886682</v>
      </c>
      <c r="F153" s="3">
        <f t="shared" si="57"/>
        <v>27.316185458668858</v>
      </c>
      <c r="G153" s="3">
        <f t="shared" si="62"/>
        <v>27.261037223104506</v>
      </c>
      <c r="H153" s="3">
        <f t="shared" si="55"/>
        <v>-4.1361176673264659E-2</v>
      </c>
      <c r="I153" s="3">
        <f t="shared" si="60"/>
        <v>23.381482644403132</v>
      </c>
      <c r="J153" s="5">
        <f t="shared" si="61"/>
        <v>0.16494704841417387</v>
      </c>
      <c r="K153" s="5">
        <f t="shared" si="59"/>
        <v>0.16494704841417387</v>
      </c>
    </row>
    <row r="154" spans="2:11" x14ac:dyDescent="0.25">
      <c r="B154" s="3" t="s">
        <v>10</v>
      </c>
      <c r="C154" s="4">
        <v>2023</v>
      </c>
      <c r="D154" s="4">
        <v>30</v>
      </c>
      <c r="E154" s="3">
        <f t="shared" si="56"/>
        <v>28.915444536354673</v>
      </c>
      <c r="F154" s="3">
        <f t="shared" si="57"/>
        <v>28.275740905280347</v>
      </c>
      <c r="G154" s="3">
        <f t="shared" si="62"/>
        <v>29.555148167429</v>
      </c>
      <c r="H154" s="3">
        <f t="shared" si="55"/>
        <v>0.95955544661148895</v>
      </c>
      <c r="I154" s="3">
        <f t="shared" si="60"/>
        <v>27.219676046431243</v>
      </c>
      <c r="J154" s="5">
        <f t="shared" si="61"/>
        <v>9.267746511895858E-2</v>
      </c>
      <c r="K154" s="5">
        <f t="shared" si="59"/>
        <v>9.267746511895858E-2</v>
      </c>
    </row>
    <row r="155" spans="2:11" x14ac:dyDescent="0.25">
      <c r="B155" s="3" t="s">
        <v>11</v>
      </c>
      <c r="C155" s="4">
        <v>2023</v>
      </c>
      <c r="D155" s="4">
        <v>35</v>
      </c>
      <c r="E155" s="3">
        <f t="shared" si="56"/>
        <v>32.566177814541874</v>
      </c>
      <c r="F155" s="3">
        <f t="shared" si="57"/>
        <v>30.850003050837262</v>
      </c>
      <c r="G155" s="3">
        <f t="shared" si="62"/>
        <v>34.282352578246488</v>
      </c>
      <c r="H155" s="3">
        <f t="shared" si="55"/>
        <v>2.5742621455569163</v>
      </c>
      <c r="I155" s="3">
        <f t="shared" si="60"/>
        <v>30.514703614040489</v>
      </c>
      <c r="J155" s="5">
        <f t="shared" si="61"/>
        <v>0.12815132531312889</v>
      </c>
      <c r="K155" s="5">
        <f t="shared" si="59"/>
        <v>0.12815132531312889</v>
      </c>
    </row>
    <row r="156" spans="2:11" x14ac:dyDescent="0.25">
      <c r="B156" s="3" t="s">
        <v>12</v>
      </c>
      <c r="C156" s="4">
        <v>2023</v>
      </c>
      <c r="D156" s="4">
        <v>39</v>
      </c>
      <c r="E156" s="3">
        <f t="shared" si="56"/>
        <v>36.426471125816747</v>
      </c>
      <c r="F156" s="3">
        <f t="shared" si="57"/>
        <v>34.195883895824949</v>
      </c>
      <c r="G156" s="3">
        <f t="shared" si="62"/>
        <v>38.657058355808545</v>
      </c>
      <c r="H156" s="3">
        <f t="shared" si="55"/>
        <v>3.3458808449876964</v>
      </c>
      <c r="I156" s="3">
        <f t="shared" si="60"/>
        <v>36.856614723803403</v>
      </c>
      <c r="J156" s="5">
        <f t="shared" si="61"/>
        <v>5.4958596825553756E-2</v>
      </c>
      <c r="K156" s="5">
        <f t="shared" si="59"/>
        <v>5.4958596825553756E-2</v>
      </c>
    </row>
    <row r="157" spans="2:11" x14ac:dyDescent="0.25">
      <c r="B157" s="3" t="s">
        <v>13</v>
      </c>
      <c r="C157" s="4">
        <v>2024</v>
      </c>
      <c r="D157" s="4">
        <v>48</v>
      </c>
      <c r="E157" s="3">
        <f t="shared" si="56"/>
        <v>43.370588450326693</v>
      </c>
      <c r="F157" s="3">
        <f t="shared" si="57"/>
        <v>39.700706628525992</v>
      </c>
      <c r="G157" s="3">
        <f t="shared" si="62"/>
        <v>47.040470272127394</v>
      </c>
      <c r="H157" s="3">
        <f t="shared" si="55"/>
        <v>5.5048227327010499</v>
      </c>
      <c r="I157" s="3">
        <f t="shared" si="60"/>
        <v>42.002939200796241</v>
      </c>
      <c r="J157" s="5">
        <f t="shared" si="61"/>
        <v>0.1249387666500783</v>
      </c>
      <c r="K157" s="5">
        <f t="shared" si="59"/>
        <v>0.1249387666500783</v>
      </c>
    </row>
    <row r="158" spans="2:11" x14ac:dyDescent="0.25">
      <c r="B158" s="3" t="s">
        <v>2</v>
      </c>
      <c r="C158" s="4">
        <v>2024</v>
      </c>
      <c r="D158" s="4">
        <v>52</v>
      </c>
      <c r="E158" s="3">
        <f t="shared" si="56"/>
        <v>48.548235380130677</v>
      </c>
      <c r="F158" s="3">
        <f t="shared" si="57"/>
        <v>45.0092238794888</v>
      </c>
      <c r="G158" s="3">
        <f t="shared" si="62"/>
        <v>52.087246880772554</v>
      </c>
      <c r="H158" s="3">
        <f t="shared" si="55"/>
        <v>5.3085172509628142</v>
      </c>
      <c r="I158" s="3">
        <f t="shared" si="60"/>
        <v>52.545293004828444</v>
      </c>
      <c r="J158" s="5">
        <f t="shared" si="61"/>
        <v>-1.0486403939008545E-2</v>
      </c>
      <c r="K158" s="5">
        <f t="shared" si="59"/>
        <v>1.0486403939008545E-2</v>
      </c>
    </row>
    <row r="159" spans="2:11" x14ac:dyDescent="0.25">
      <c r="B159" s="3" t="s">
        <v>4</v>
      </c>
      <c r="C159" s="4">
        <v>2024</v>
      </c>
      <c r="D159" s="4">
        <v>47</v>
      </c>
      <c r="E159" s="3">
        <f t="shared" si="56"/>
        <v>47.619294152052277</v>
      </c>
      <c r="F159" s="3">
        <f t="shared" si="57"/>
        <v>46.575266043026886</v>
      </c>
      <c r="G159" s="3">
        <f t="shared" si="62"/>
        <v>48.663322261077667</v>
      </c>
      <c r="H159" s="3">
        <f t="shared" si="55"/>
        <v>1.5660421635380855</v>
      </c>
      <c r="I159" s="3">
        <f t="shared" si="60"/>
        <v>57.395764131735369</v>
      </c>
      <c r="J159" s="5">
        <f t="shared" si="61"/>
        <v>-0.22118647088798657</v>
      </c>
      <c r="K159" s="5">
        <f t="shared" si="59"/>
        <v>0.22118647088798657</v>
      </c>
    </row>
    <row r="160" spans="2:11" x14ac:dyDescent="0.25">
      <c r="B160" s="3" t="s">
        <v>3</v>
      </c>
      <c r="C160" s="4">
        <v>2024</v>
      </c>
      <c r="D160" s="4">
        <v>40</v>
      </c>
      <c r="E160" s="3">
        <f t="shared" si="56"/>
        <v>43.047717660820908</v>
      </c>
      <c r="F160" s="3">
        <f t="shared" si="57"/>
        <v>44.458737013703299</v>
      </c>
      <c r="G160" s="3">
        <f t="shared" si="62"/>
        <v>41.636698307938516</v>
      </c>
      <c r="H160" s="3">
        <f t="shared" si="55"/>
        <v>-2.1165290293235866</v>
      </c>
      <c r="I160" s="3">
        <f t="shared" si="60"/>
        <v>50.229364424615753</v>
      </c>
      <c r="J160" s="5">
        <f t="shared" si="61"/>
        <v>-0.25573411061539381</v>
      </c>
      <c r="K160" s="5">
        <f t="shared" si="59"/>
        <v>0.25573411061539381</v>
      </c>
    </row>
    <row r="161" spans="2:14" x14ac:dyDescent="0.25">
      <c r="B161" s="3" t="s">
        <v>5</v>
      </c>
      <c r="C161" s="4">
        <v>2024</v>
      </c>
      <c r="D161" s="4">
        <v>36</v>
      </c>
      <c r="E161" s="3">
        <f t="shared" si="56"/>
        <v>38.819087064328357</v>
      </c>
      <c r="F161" s="3">
        <f t="shared" si="57"/>
        <v>41.074947044078336</v>
      </c>
      <c r="G161" s="3">
        <f t="shared" si="62"/>
        <v>36.563227084578379</v>
      </c>
      <c r="H161" s="3">
        <f t="shared" si="55"/>
        <v>-3.3837899696249667</v>
      </c>
      <c r="I161" s="3">
        <f t="shared" si="60"/>
        <v>39.520169278614929</v>
      </c>
      <c r="J161" s="5">
        <f t="shared" si="61"/>
        <v>-9.7782479961525823E-2</v>
      </c>
      <c r="K161" s="5">
        <f t="shared" si="59"/>
        <v>9.7782479961525823E-2</v>
      </c>
    </row>
    <row r="162" spans="2:14" x14ac:dyDescent="0.25">
      <c r="B162" s="3" t="s">
        <v>6</v>
      </c>
      <c r="C162" s="4">
        <v>2024</v>
      </c>
      <c r="D162" s="4">
        <v>35</v>
      </c>
      <c r="E162" s="3">
        <f t="shared" si="56"/>
        <v>36.52763482573134</v>
      </c>
      <c r="F162" s="3">
        <f t="shared" si="57"/>
        <v>38.346559713070135</v>
      </c>
      <c r="G162" s="3">
        <f t="shared" si="62"/>
        <v>34.708709938392545</v>
      </c>
      <c r="H162" s="3">
        <f t="shared" si="55"/>
        <v>-2.7283873310081925</v>
      </c>
      <c r="I162" s="3">
        <f t="shared" si="60"/>
        <v>33.179437114953416</v>
      </c>
      <c r="J162" s="5">
        <f t="shared" si="61"/>
        <v>5.201608242990241E-2</v>
      </c>
      <c r="K162" s="5">
        <f t="shared" si="59"/>
        <v>5.201608242990241E-2</v>
      </c>
    </row>
    <row r="163" spans="2:14" x14ac:dyDescent="0.25">
      <c r="B163" s="3" t="s">
        <v>7</v>
      </c>
      <c r="C163" s="4">
        <v>2024</v>
      </c>
      <c r="D163" s="4">
        <v>31</v>
      </c>
      <c r="E163" s="3">
        <f t="shared" si="56"/>
        <v>33.211053930292536</v>
      </c>
      <c r="F163" s="3">
        <f t="shared" si="57"/>
        <v>35.265256243403577</v>
      </c>
      <c r="G163" s="3">
        <f t="shared" si="62"/>
        <v>31.156851617181495</v>
      </c>
      <c r="H163" s="3">
        <f t="shared" si="55"/>
        <v>-3.0813034696665613</v>
      </c>
      <c r="I163" s="3">
        <f t="shared" si="60"/>
        <v>31.980322607384352</v>
      </c>
      <c r="J163" s="5">
        <f t="shared" si="61"/>
        <v>-3.1623309915624252E-2</v>
      </c>
      <c r="K163" s="5">
        <f t="shared" si="59"/>
        <v>3.1623309915624252E-2</v>
      </c>
    </row>
    <row r="164" spans="2:14" x14ac:dyDescent="0.25">
      <c r="B164" s="6" t="s">
        <v>8</v>
      </c>
      <c r="C164" s="7">
        <v>2024</v>
      </c>
      <c r="D164" s="6"/>
      <c r="E164" s="8"/>
      <c r="F164" s="8"/>
      <c r="G164" s="8"/>
      <c r="H164" s="8"/>
      <c r="I164" s="9">
        <f t="shared" si="60"/>
        <v>28.075548147514933</v>
      </c>
      <c r="J164" s="6" t="s">
        <v>21</v>
      </c>
      <c r="K164" s="10">
        <f>100/36*SUM(K129:K163)</f>
        <v>8.7564143317628442</v>
      </c>
    </row>
    <row r="169" spans="2:14" x14ac:dyDescent="0.25">
      <c r="B169" s="11" t="s">
        <v>0</v>
      </c>
      <c r="C169" s="11" t="s">
        <v>1</v>
      </c>
      <c r="D169" s="11" t="s">
        <v>22</v>
      </c>
      <c r="E169" s="11" t="s">
        <v>14</v>
      </c>
      <c r="F169" s="11" t="s">
        <v>15</v>
      </c>
      <c r="G169" s="11" t="s">
        <v>16</v>
      </c>
      <c r="H169" s="11" t="s">
        <v>17</v>
      </c>
      <c r="I169" s="11" t="s">
        <v>18</v>
      </c>
      <c r="J169" s="11" t="s">
        <v>19</v>
      </c>
      <c r="K169" s="11" t="s">
        <v>20</v>
      </c>
      <c r="N169" s="12">
        <v>0.5</v>
      </c>
    </row>
    <row r="170" spans="2:14" x14ac:dyDescent="0.25">
      <c r="B170" s="3" t="s">
        <v>8</v>
      </c>
      <c r="C170" s="3">
        <v>2021</v>
      </c>
      <c r="D170" s="3">
        <v>20</v>
      </c>
      <c r="E170" s="3">
        <v>20</v>
      </c>
      <c r="F170" s="3">
        <v>20</v>
      </c>
      <c r="G170" s="3">
        <v>20</v>
      </c>
      <c r="H170" s="3">
        <v>0</v>
      </c>
      <c r="I170" s="3"/>
      <c r="J170" s="4"/>
      <c r="K170" s="4"/>
      <c r="N170" s="12">
        <v>0.5</v>
      </c>
    </row>
    <row r="171" spans="2:14" x14ac:dyDescent="0.25">
      <c r="B171" s="3" t="s">
        <v>9</v>
      </c>
      <c r="C171" s="3">
        <v>2021</v>
      </c>
      <c r="D171" s="3">
        <v>25</v>
      </c>
      <c r="E171" s="3">
        <f>($N$169)*D171+($N$170)*E170</f>
        <v>22.5</v>
      </c>
      <c r="F171" s="3">
        <f>($N$169)*E171+($N$170)*F170</f>
        <v>21.25</v>
      </c>
      <c r="G171" s="3">
        <f>2*(E171)-(F171)</f>
        <v>23.75</v>
      </c>
      <c r="H171" s="3">
        <f>$N$169/$N$170*(E171-F171)</f>
        <v>1.25</v>
      </c>
      <c r="I171" s="3">
        <f>G170+H170</f>
        <v>20</v>
      </c>
      <c r="J171" s="5">
        <f>(D171-I171)/D171</f>
        <v>0.2</v>
      </c>
      <c r="K171" s="5">
        <f>ABS(J171)</f>
        <v>0.2</v>
      </c>
    </row>
    <row r="172" spans="2:14" x14ac:dyDescent="0.25">
      <c r="B172" s="3" t="s">
        <v>10</v>
      </c>
      <c r="C172" s="3">
        <v>2021</v>
      </c>
      <c r="D172" s="3">
        <v>27</v>
      </c>
      <c r="E172" s="3">
        <f t="shared" ref="E172:E205" si="63">($N$169)*D172+($N$170)*E171</f>
        <v>24.75</v>
      </c>
      <c r="F172" s="3">
        <f t="shared" ref="F172:F205" si="64">($N$169)*E172+($N$170)*F171</f>
        <v>23</v>
      </c>
      <c r="G172" s="3">
        <f t="shared" ref="G172:G180" si="65">2*(E172)-(F172)</f>
        <v>26.5</v>
      </c>
      <c r="H172" s="3">
        <f t="shared" ref="H172:H205" si="66">$N$169/$N$170*(E172-F172)</f>
        <v>1.75</v>
      </c>
      <c r="I172" s="3">
        <f>G171+H171</f>
        <v>25</v>
      </c>
      <c r="J172" s="5">
        <f>(D172-I172)/D172</f>
        <v>7.407407407407407E-2</v>
      </c>
      <c r="K172" s="5">
        <f t="shared" ref="K172:K205" si="67">ABS(J172)</f>
        <v>7.407407407407407E-2</v>
      </c>
    </row>
    <row r="173" spans="2:14" x14ac:dyDescent="0.25">
      <c r="B173" s="3" t="s">
        <v>11</v>
      </c>
      <c r="C173" s="3">
        <v>2021</v>
      </c>
      <c r="D173" s="3">
        <v>30</v>
      </c>
      <c r="E173" s="3">
        <f t="shared" si="63"/>
        <v>27.375</v>
      </c>
      <c r="F173" s="3">
        <f t="shared" si="64"/>
        <v>25.1875</v>
      </c>
      <c r="G173" s="3">
        <f t="shared" si="65"/>
        <v>29.5625</v>
      </c>
      <c r="H173" s="3">
        <f t="shared" si="66"/>
        <v>2.1875</v>
      </c>
      <c r="I173" s="3">
        <f t="shared" ref="I173:I206" si="68">G172+H172</f>
        <v>28.25</v>
      </c>
      <c r="J173" s="5">
        <f t="shared" ref="J173:J205" si="69">(D173-I173)/D173</f>
        <v>5.8333333333333334E-2</v>
      </c>
      <c r="K173" s="5">
        <f t="shared" si="67"/>
        <v>5.8333333333333334E-2</v>
      </c>
    </row>
    <row r="174" spans="2:14" x14ac:dyDescent="0.25">
      <c r="B174" s="3" t="s">
        <v>12</v>
      </c>
      <c r="C174" s="3">
        <v>2021</v>
      </c>
      <c r="D174" s="3">
        <v>32</v>
      </c>
      <c r="E174" s="3">
        <f t="shared" si="63"/>
        <v>29.6875</v>
      </c>
      <c r="F174" s="3">
        <f t="shared" si="64"/>
        <v>27.4375</v>
      </c>
      <c r="G174" s="3">
        <f t="shared" si="65"/>
        <v>31.9375</v>
      </c>
      <c r="H174" s="3">
        <f t="shared" si="66"/>
        <v>2.25</v>
      </c>
      <c r="I174" s="3">
        <f t="shared" si="68"/>
        <v>31.75</v>
      </c>
      <c r="J174" s="5">
        <f t="shared" si="69"/>
        <v>7.8125E-3</v>
      </c>
      <c r="K174" s="5">
        <f t="shared" si="67"/>
        <v>7.8125E-3</v>
      </c>
    </row>
    <row r="175" spans="2:14" x14ac:dyDescent="0.25">
      <c r="B175" s="3" t="s">
        <v>13</v>
      </c>
      <c r="C175" s="3">
        <v>2021</v>
      </c>
      <c r="D175" s="3">
        <v>33</v>
      </c>
      <c r="E175" s="3">
        <f t="shared" si="63"/>
        <v>31.34375</v>
      </c>
      <c r="F175" s="3">
        <f t="shared" si="64"/>
        <v>29.390625</v>
      </c>
      <c r="G175" s="3">
        <f t="shared" si="65"/>
        <v>33.296875</v>
      </c>
      <c r="H175" s="3">
        <f t="shared" si="66"/>
        <v>1.953125</v>
      </c>
      <c r="I175" s="3">
        <f t="shared" si="68"/>
        <v>34.1875</v>
      </c>
      <c r="J175" s="5">
        <f t="shared" si="69"/>
        <v>-3.5984848484848488E-2</v>
      </c>
      <c r="K175" s="5">
        <f t="shared" si="67"/>
        <v>3.5984848484848488E-2</v>
      </c>
    </row>
    <row r="176" spans="2:14" x14ac:dyDescent="0.25">
      <c r="B176" s="3" t="s">
        <v>2</v>
      </c>
      <c r="C176" s="3">
        <v>2021</v>
      </c>
      <c r="D176" s="3">
        <v>33</v>
      </c>
      <c r="E176" s="3">
        <f t="shared" si="63"/>
        <v>32.171875</v>
      </c>
      <c r="F176" s="3">
        <f t="shared" si="64"/>
        <v>30.78125</v>
      </c>
      <c r="G176" s="3">
        <f t="shared" si="65"/>
        <v>33.5625</v>
      </c>
      <c r="H176" s="3">
        <f t="shared" si="66"/>
        <v>1.390625</v>
      </c>
      <c r="I176" s="3">
        <f t="shared" si="68"/>
        <v>35.25</v>
      </c>
      <c r="J176" s="5">
        <f t="shared" si="69"/>
        <v>-6.8181818181818177E-2</v>
      </c>
      <c r="K176" s="5">
        <f t="shared" si="67"/>
        <v>6.8181818181818177E-2</v>
      </c>
    </row>
    <row r="177" spans="2:11" x14ac:dyDescent="0.25">
      <c r="B177" s="3" t="s">
        <v>4</v>
      </c>
      <c r="C177" s="3">
        <v>2022</v>
      </c>
      <c r="D177" s="3">
        <v>30</v>
      </c>
      <c r="E177" s="3">
        <f t="shared" si="63"/>
        <v>31.0859375</v>
      </c>
      <c r="F177" s="3">
        <f t="shared" si="64"/>
        <v>30.93359375</v>
      </c>
      <c r="G177" s="3">
        <f t="shared" si="65"/>
        <v>31.23828125</v>
      </c>
      <c r="H177" s="3">
        <f t="shared" si="66"/>
        <v>0.15234375</v>
      </c>
      <c r="I177" s="3">
        <f t="shared" si="68"/>
        <v>34.953125</v>
      </c>
      <c r="J177" s="5">
        <f t="shared" si="69"/>
        <v>-0.16510416666666666</v>
      </c>
      <c r="K177" s="5">
        <f t="shared" si="67"/>
        <v>0.16510416666666666</v>
      </c>
    </row>
    <row r="178" spans="2:11" x14ac:dyDescent="0.25">
      <c r="B178" s="3" t="s">
        <v>3</v>
      </c>
      <c r="C178" s="3">
        <v>2022</v>
      </c>
      <c r="D178" s="3">
        <v>28</v>
      </c>
      <c r="E178" s="3">
        <f t="shared" si="63"/>
        <v>29.54296875</v>
      </c>
      <c r="F178" s="3">
        <f t="shared" si="64"/>
        <v>30.23828125</v>
      </c>
      <c r="G178" s="3">
        <f t="shared" si="65"/>
        <v>28.84765625</v>
      </c>
      <c r="H178" s="3">
        <f t="shared" si="66"/>
        <v>-0.6953125</v>
      </c>
      <c r="I178" s="3">
        <f t="shared" si="68"/>
        <v>31.390625</v>
      </c>
      <c r="J178" s="5">
        <f t="shared" si="69"/>
        <v>-0.12109375</v>
      </c>
      <c r="K178" s="5">
        <f t="shared" si="67"/>
        <v>0.12109375</v>
      </c>
    </row>
    <row r="179" spans="2:11" x14ac:dyDescent="0.25">
      <c r="B179" s="3" t="s">
        <v>5</v>
      </c>
      <c r="C179" s="3">
        <v>2022</v>
      </c>
      <c r="D179" s="3">
        <v>26</v>
      </c>
      <c r="E179" s="3">
        <f t="shared" si="63"/>
        <v>27.771484375</v>
      </c>
      <c r="F179" s="3">
        <f t="shared" si="64"/>
        <v>29.0048828125</v>
      </c>
      <c r="G179" s="3">
        <f t="shared" si="65"/>
        <v>26.5380859375</v>
      </c>
      <c r="H179" s="3">
        <f t="shared" si="66"/>
        <v>-1.2333984375</v>
      </c>
      <c r="I179" s="3">
        <f t="shared" si="68"/>
        <v>28.15234375</v>
      </c>
      <c r="J179" s="5">
        <f t="shared" si="69"/>
        <v>-8.2782451923076927E-2</v>
      </c>
      <c r="K179" s="5">
        <f t="shared" si="67"/>
        <v>8.2782451923076927E-2</v>
      </c>
    </row>
    <row r="180" spans="2:11" x14ac:dyDescent="0.25">
      <c r="B180" s="3" t="s">
        <v>6</v>
      </c>
      <c r="C180" s="3">
        <v>2022</v>
      </c>
      <c r="D180" s="3">
        <v>26</v>
      </c>
      <c r="E180" s="3">
        <f t="shared" si="63"/>
        <v>26.8857421875</v>
      </c>
      <c r="F180" s="3">
        <f t="shared" si="64"/>
        <v>27.9453125</v>
      </c>
      <c r="G180" s="3">
        <f t="shared" si="65"/>
        <v>25.826171875</v>
      </c>
      <c r="H180" s="3">
        <f t="shared" si="66"/>
        <v>-1.0595703125</v>
      </c>
      <c r="I180" s="3">
        <f t="shared" si="68"/>
        <v>25.3046875</v>
      </c>
      <c r="J180" s="5">
        <f t="shared" si="69"/>
        <v>2.674278846153846E-2</v>
      </c>
      <c r="K180" s="5">
        <f t="shared" si="67"/>
        <v>2.674278846153846E-2</v>
      </c>
    </row>
    <row r="181" spans="2:11" x14ac:dyDescent="0.25">
      <c r="B181" s="3" t="s">
        <v>7</v>
      </c>
      <c r="C181" s="3">
        <v>2022</v>
      </c>
      <c r="D181" s="3">
        <v>22</v>
      </c>
      <c r="E181" s="3">
        <f t="shared" si="63"/>
        <v>24.44287109375</v>
      </c>
      <c r="F181" s="3">
        <f t="shared" si="64"/>
        <v>26.194091796875</v>
      </c>
      <c r="G181" s="3">
        <f>2*(E181)-(F181)</f>
        <v>22.691650390625</v>
      </c>
      <c r="H181" s="3">
        <f t="shared" si="66"/>
        <v>-1.751220703125</v>
      </c>
      <c r="I181" s="3">
        <f t="shared" si="68"/>
        <v>24.7666015625</v>
      </c>
      <c r="J181" s="5">
        <f t="shared" si="69"/>
        <v>-0.12575461647727273</v>
      </c>
      <c r="K181" s="5">
        <f t="shared" si="67"/>
        <v>0.12575461647727273</v>
      </c>
    </row>
    <row r="182" spans="2:11" x14ac:dyDescent="0.25">
      <c r="B182" s="3" t="s">
        <v>8</v>
      </c>
      <c r="C182" s="3">
        <v>2022</v>
      </c>
      <c r="D182" s="4">
        <v>20</v>
      </c>
      <c r="E182" s="3">
        <f t="shared" si="63"/>
        <v>22.221435546875</v>
      </c>
      <c r="F182" s="3">
        <f t="shared" si="64"/>
        <v>24.207763671875</v>
      </c>
      <c r="G182" s="3">
        <f t="shared" ref="G182:G205" si="70">2*(E182)-(F182)</f>
        <v>20.235107421875</v>
      </c>
      <c r="H182" s="3">
        <f t="shared" si="66"/>
        <v>-1.986328125</v>
      </c>
      <c r="I182" s="3">
        <f t="shared" si="68"/>
        <v>20.9404296875</v>
      </c>
      <c r="J182" s="5">
        <f t="shared" si="69"/>
        <v>-4.7021484374999999E-2</v>
      </c>
      <c r="K182" s="5">
        <f t="shared" si="67"/>
        <v>4.7021484374999999E-2</v>
      </c>
    </row>
    <row r="183" spans="2:11" x14ac:dyDescent="0.25">
      <c r="B183" s="3" t="s">
        <v>9</v>
      </c>
      <c r="C183" s="3">
        <v>2022</v>
      </c>
      <c r="D183" s="4">
        <v>25</v>
      </c>
      <c r="E183" s="3">
        <f t="shared" si="63"/>
        <v>23.6107177734375</v>
      </c>
      <c r="F183" s="3">
        <f t="shared" si="64"/>
        <v>23.90924072265625</v>
      </c>
      <c r="G183" s="3">
        <f t="shared" si="70"/>
        <v>23.31219482421875</v>
      </c>
      <c r="H183" s="3">
        <f t="shared" si="66"/>
        <v>-0.29852294921875</v>
      </c>
      <c r="I183" s="3">
        <f t="shared" si="68"/>
        <v>18.248779296875</v>
      </c>
      <c r="J183" s="5">
        <f t="shared" si="69"/>
        <v>0.27004882812499997</v>
      </c>
      <c r="K183" s="5">
        <f t="shared" si="67"/>
        <v>0.27004882812499997</v>
      </c>
    </row>
    <row r="184" spans="2:11" x14ac:dyDescent="0.25">
      <c r="B184" s="3" t="s">
        <v>10</v>
      </c>
      <c r="C184" s="3">
        <v>2022</v>
      </c>
      <c r="D184" s="4">
        <v>29</v>
      </c>
      <c r="E184" s="3">
        <f t="shared" si="63"/>
        <v>26.30535888671875</v>
      </c>
      <c r="F184" s="3">
        <f t="shared" si="64"/>
        <v>25.1072998046875</v>
      </c>
      <c r="G184" s="3">
        <f t="shared" si="70"/>
        <v>27.50341796875</v>
      </c>
      <c r="H184" s="3">
        <f t="shared" si="66"/>
        <v>1.19805908203125</v>
      </c>
      <c r="I184" s="3">
        <f t="shared" si="68"/>
        <v>23.013671875</v>
      </c>
      <c r="J184" s="5">
        <f t="shared" si="69"/>
        <v>0.20642510775862069</v>
      </c>
      <c r="K184" s="5">
        <f t="shared" si="67"/>
        <v>0.20642510775862069</v>
      </c>
    </row>
    <row r="185" spans="2:11" x14ac:dyDescent="0.25">
      <c r="B185" s="3" t="s">
        <v>11</v>
      </c>
      <c r="C185" s="3">
        <v>2022</v>
      </c>
      <c r="D185" s="4">
        <v>30</v>
      </c>
      <c r="E185" s="3">
        <f t="shared" si="63"/>
        <v>28.152679443359375</v>
      </c>
      <c r="F185" s="3">
        <f t="shared" si="64"/>
        <v>26.629989624023438</v>
      </c>
      <c r="G185" s="3">
        <f t="shared" si="70"/>
        <v>29.675369262695313</v>
      </c>
      <c r="H185" s="3">
        <f t="shared" si="66"/>
        <v>1.5226898193359375</v>
      </c>
      <c r="I185" s="3">
        <f t="shared" si="68"/>
        <v>28.70147705078125</v>
      </c>
      <c r="J185" s="5">
        <f t="shared" si="69"/>
        <v>4.3284098307291664E-2</v>
      </c>
      <c r="K185" s="5">
        <f t="shared" si="67"/>
        <v>4.3284098307291664E-2</v>
      </c>
    </row>
    <row r="186" spans="2:11" x14ac:dyDescent="0.25">
      <c r="B186" s="3" t="s">
        <v>12</v>
      </c>
      <c r="C186" s="3">
        <v>2022</v>
      </c>
      <c r="D186" s="4">
        <v>33</v>
      </c>
      <c r="E186" s="3">
        <f t="shared" si="63"/>
        <v>30.576339721679688</v>
      </c>
      <c r="F186" s="3">
        <f t="shared" si="64"/>
        <v>28.603164672851563</v>
      </c>
      <c r="G186" s="3">
        <f t="shared" si="70"/>
        <v>32.549514770507813</v>
      </c>
      <c r="H186" s="3">
        <f t="shared" si="66"/>
        <v>1.973175048828125</v>
      </c>
      <c r="I186" s="3">
        <f t="shared" si="68"/>
        <v>31.19805908203125</v>
      </c>
      <c r="J186" s="5">
        <f t="shared" si="69"/>
        <v>5.4604270241477272E-2</v>
      </c>
      <c r="K186" s="5">
        <f t="shared" si="67"/>
        <v>5.4604270241477272E-2</v>
      </c>
    </row>
    <row r="187" spans="2:11" x14ac:dyDescent="0.25">
      <c r="B187" s="3" t="s">
        <v>13</v>
      </c>
      <c r="C187" s="3">
        <v>2022</v>
      </c>
      <c r="D187" s="4">
        <v>37</v>
      </c>
      <c r="E187" s="3">
        <f t="shared" si="63"/>
        <v>33.788169860839844</v>
      </c>
      <c r="F187" s="3">
        <f t="shared" si="64"/>
        <v>31.195667266845703</v>
      </c>
      <c r="G187" s="3">
        <f t="shared" si="70"/>
        <v>36.380672454833984</v>
      </c>
      <c r="H187" s="3">
        <f t="shared" si="66"/>
        <v>2.5925025939941406</v>
      </c>
      <c r="I187" s="3">
        <f t="shared" si="68"/>
        <v>34.522689819335938</v>
      </c>
      <c r="J187" s="5">
        <f t="shared" si="69"/>
        <v>6.6954329207136828E-2</v>
      </c>
      <c r="K187" s="5">
        <f t="shared" si="67"/>
        <v>6.6954329207136828E-2</v>
      </c>
    </row>
    <row r="188" spans="2:11" x14ac:dyDescent="0.25">
      <c r="B188" s="3" t="s">
        <v>2</v>
      </c>
      <c r="C188" s="3">
        <v>2022</v>
      </c>
      <c r="D188" s="4">
        <v>39</v>
      </c>
      <c r="E188" s="3">
        <f t="shared" si="63"/>
        <v>36.394084930419922</v>
      </c>
      <c r="F188" s="3">
        <f t="shared" si="64"/>
        <v>33.794876098632813</v>
      </c>
      <c r="G188" s="3">
        <f t="shared" si="70"/>
        <v>38.993293762207031</v>
      </c>
      <c r="H188" s="3">
        <f t="shared" si="66"/>
        <v>2.5992088317871094</v>
      </c>
      <c r="I188" s="3">
        <f t="shared" si="68"/>
        <v>38.973175048828125</v>
      </c>
      <c r="J188" s="5">
        <f t="shared" si="69"/>
        <v>6.8781926081730774E-4</v>
      </c>
      <c r="K188" s="5">
        <f t="shared" si="67"/>
        <v>6.8781926081730774E-4</v>
      </c>
    </row>
    <row r="189" spans="2:11" x14ac:dyDescent="0.25">
      <c r="B189" s="3" t="s">
        <v>4</v>
      </c>
      <c r="C189" s="4">
        <v>2023</v>
      </c>
      <c r="D189" s="4">
        <v>35</v>
      </c>
      <c r="E189" s="3">
        <f t="shared" si="63"/>
        <v>35.697042465209961</v>
      </c>
      <c r="F189" s="3">
        <f t="shared" si="64"/>
        <v>34.745959281921387</v>
      </c>
      <c r="G189" s="3">
        <f t="shared" si="70"/>
        <v>36.648125648498535</v>
      </c>
      <c r="H189" s="3">
        <f t="shared" si="66"/>
        <v>0.95108318328857422</v>
      </c>
      <c r="I189" s="3">
        <f t="shared" si="68"/>
        <v>41.592502593994141</v>
      </c>
      <c r="J189" s="5">
        <f t="shared" si="69"/>
        <v>-0.18835721697126115</v>
      </c>
      <c r="K189" s="5">
        <f t="shared" si="67"/>
        <v>0.18835721697126115</v>
      </c>
    </row>
    <row r="190" spans="2:11" x14ac:dyDescent="0.25">
      <c r="B190" s="3" t="s">
        <v>3</v>
      </c>
      <c r="C190" s="4">
        <v>2023</v>
      </c>
      <c r="D190" s="4">
        <v>31</v>
      </c>
      <c r="E190" s="3">
        <f t="shared" si="63"/>
        <v>33.34852123260498</v>
      </c>
      <c r="F190" s="3">
        <f t="shared" si="64"/>
        <v>34.047240257263184</v>
      </c>
      <c r="G190" s="3">
        <f t="shared" si="70"/>
        <v>32.649802207946777</v>
      </c>
      <c r="H190" s="3">
        <f t="shared" si="66"/>
        <v>-0.69871902465820313</v>
      </c>
      <c r="I190" s="3">
        <f t="shared" si="68"/>
        <v>37.599208831787109</v>
      </c>
      <c r="J190" s="5">
        <f t="shared" si="69"/>
        <v>-0.21287770425119706</v>
      </c>
      <c r="K190" s="5">
        <f t="shared" si="67"/>
        <v>0.21287770425119706</v>
      </c>
    </row>
    <row r="191" spans="2:11" x14ac:dyDescent="0.25">
      <c r="B191" s="3" t="s">
        <v>5</v>
      </c>
      <c r="C191" s="4">
        <v>2023</v>
      </c>
      <c r="D191" s="4">
        <v>29</v>
      </c>
      <c r="E191" s="3">
        <f t="shared" si="63"/>
        <v>31.17426061630249</v>
      </c>
      <c r="F191" s="3">
        <f t="shared" si="64"/>
        <v>32.610750436782837</v>
      </c>
      <c r="G191" s="3">
        <f t="shared" si="70"/>
        <v>29.737770795822144</v>
      </c>
      <c r="H191" s="3">
        <f t="shared" si="66"/>
        <v>-1.4364898204803467</v>
      </c>
      <c r="I191" s="3">
        <f t="shared" si="68"/>
        <v>31.951083183288574</v>
      </c>
      <c r="J191" s="5">
        <f t="shared" si="69"/>
        <v>-0.10176148907891636</v>
      </c>
      <c r="K191" s="5">
        <f t="shared" si="67"/>
        <v>0.10176148907891636</v>
      </c>
    </row>
    <row r="192" spans="2:11" x14ac:dyDescent="0.25">
      <c r="B192" s="3" t="s">
        <v>6</v>
      </c>
      <c r="C192" s="4">
        <v>2023</v>
      </c>
      <c r="D192" s="4">
        <v>29</v>
      </c>
      <c r="E192" s="3">
        <f t="shared" si="63"/>
        <v>30.087130308151245</v>
      </c>
      <c r="F192" s="3">
        <f t="shared" si="64"/>
        <v>31.348940372467041</v>
      </c>
      <c r="G192" s="3">
        <f t="shared" si="70"/>
        <v>28.825320243835449</v>
      </c>
      <c r="H192" s="3">
        <f t="shared" si="66"/>
        <v>-1.2618100643157959</v>
      </c>
      <c r="I192" s="3">
        <f t="shared" si="68"/>
        <v>28.301280975341797</v>
      </c>
      <c r="J192" s="5">
        <f t="shared" si="69"/>
        <v>2.4093759470972521E-2</v>
      </c>
      <c r="K192" s="5">
        <f t="shared" si="67"/>
        <v>2.4093759470972521E-2</v>
      </c>
    </row>
    <row r="193" spans="2:11" x14ac:dyDescent="0.25">
      <c r="B193" s="3" t="s">
        <v>7</v>
      </c>
      <c r="C193" s="4">
        <v>2023</v>
      </c>
      <c r="D193" s="4">
        <v>27</v>
      </c>
      <c r="E193" s="3">
        <f t="shared" si="63"/>
        <v>28.543565154075623</v>
      </c>
      <c r="F193" s="3">
        <f t="shared" si="64"/>
        <v>29.946252763271332</v>
      </c>
      <c r="G193" s="3">
        <f t="shared" si="70"/>
        <v>27.140877544879913</v>
      </c>
      <c r="H193" s="3">
        <f t="shared" si="66"/>
        <v>-1.4026876091957092</v>
      </c>
      <c r="I193" s="3">
        <f t="shared" si="68"/>
        <v>27.563510179519653</v>
      </c>
      <c r="J193" s="5">
        <f t="shared" si="69"/>
        <v>-2.0870747389616789E-2</v>
      </c>
      <c r="K193" s="5">
        <f t="shared" si="67"/>
        <v>2.0870747389616789E-2</v>
      </c>
    </row>
    <row r="194" spans="2:11" x14ac:dyDescent="0.25">
      <c r="B194" s="3" t="s">
        <v>8</v>
      </c>
      <c r="C194" s="4">
        <v>2023</v>
      </c>
      <c r="D194" s="4">
        <v>25</v>
      </c>
      <c r="E194" s="3">
        <f t="shared" si="63"/>
        <v>26.771782577037811</v>
      </c>
      <c r="F194" s="3">
        <f t="shared" si="64"/>
        <v>28.359017670154572</v>
      </c>
      <c r="G194" s="3">
        <f t="shared" si="70"/>
        <v>25.184547483921051</v>
      </c>
      <c r="H194" s="3">
        <f t="shared" si="66"/>
        <v>-1.5872350931167603</v>
      </c>
      <c r="I194" s="3">
        <f t="shared" si="68"/>
        <v>25.738189935684204</v>
      </c>
      <c r="J194" s="5">
        <f t="shared" si="69"/>
        <v>-2.9527597427368164E-2</v>
      </c>
      <c r="K194" s="5">
        <f t="shared" si="67"/>
        <v>2.9527597427368164E-2</v>
      </c>
    </row>
    <row r="195" spans="2:11" x14ac:dyDescent="0.25">
      <c r="B195" s="3" t="s">
        <v>9</v>
      </c>
      <c r="C195" s="4">
        <v>2023</v>
      </c>
      <c r="D195" s="4">
        <v>28</v>
      </c>
      <c r="E195" s="3">
        <f t="shared" si="63"/>
        <v>27.385891288518906</v>
      </c>
      <c r="F195" s="3">
        <f t="shared" si="64"/>
        <v>27.872454479336739</v>
      </c>
      <c r="G195" s="3">
        <f t="shared" si="70"/>
        <v>26.899328097701073</v>
      </c>
      <c r="H195" s="3">
        <f t="shared" si="66"/>
        <v>-0.48656319081783295</v>
      </c>
      <c r="I195" s="3">
        <f t="shared" si="68"/>
        <v>23.597312390804291</v>
      </c>
      <c r="J195" s="5">
        <f t="shared" si="69"/>
        <v>0.15723884318556106</v>
      </c>
      <c r="K195" s="5">
        <f t="shared" si="67"/>
        <v>0.15723884318556106</v>
      </c>
    </row>
    <row r="196" spans="2:11" x14ac:dyDescent="0.25">
      <c r="B196" s="3" t="s">
        <v>10</v>
      </c>
      <c r="C196" s="4">
        <v>2023</v>
      </c>
      <c r="D196" s="4">
        <v>30</v>
      </c>
      <c r="E196" s="3">
        <f t="shared" si="63"/>
        <v>28.692945644259453</v>
      </c>
      <c r="F196" s="3">
        <f t="shared" si="64"/>
        <v>28.282700061798096</v>
      </c>
      <c r="G196" s="3">
        <f t="shared" si="70"/>
        <v>29.10319122672081</v>
      </c>
      <c r="H196" s="3">
        <f t="shared" si="66"/>
        <v>0.41024558246135712</v>
      </c>
      <c r="I196" s="3">
        <f t="shared" si="68"/>
        <v>26.41276490688324</v>
      </c>
      <c r="J196" s="5">
        <f t="shared" si="69"/>
        <v>0.119574503103892</v>
      </c>
      <c r="K196" s="5">
        <f t="shared" si="67"/>
        <v>0.119574503103892</v>
      </c>
    </row>
    <row r="197" spans="2:11" x14ac:dyDescent="0.25">
      <c r="B197" s="3" t="s">
        <v>11</v>
      </c>
      <c r="C197" s="4">
        <v>2023</v>
      </c>
      <c r="D197" s="4">
        <v>35</v>
      </c>
      <c r="E197" s="3">
        <f t="shared" si="63"/>
        <v>31.846472822129726</v>
      </c>
      <c r="F197" s="3">
        <f t="shared" si="64"/>
        <v>30.064586441963911</v>
      </c>
      <c r="G197" s="3">
        <f t="shared" si="70"/>
        <v>33.628359202295542</v>
      </c>
      <c r="H197" s="3">
        <f t="shared" si="66"/>
        <v>1.7818863801658154</v>
      </c>
      <c r="I197" s="3">
        <f t="shared" si="68"/>
        <v>29.513436809182167</v>
      </c>
      <c r="J197" s="5">
        <f t="shared" si="69"/>
        <v>0.15675894830908094</v>
      </c>
      <c r="K197" s="5">
        <f t="shared" si="67"/>
        <v>0.15675894830908094</v>
      </c>
    </row>
    <row r="198" spans="2:11" x14ac:dyDescent="0.25">
      <c r="B198" s="3" t="s">
        <v>12</v>
      </c>
      <c r="C198" s="4">
        <v>2023</v>
      </c>
      <c r="D198" s="4">
        <v>39</v>
      </c>
      <c r="E198" s="3">
        <f t="shared" si="63"/>
        <v>35.423236411064863</v>
      </c>
      <c r="F198" s="3">
        <f t="shared" si="64"/>
        <v>32.743911426514387</v>
      </c>
      <c r="G198" s="3">
        <f t="shared" si="70"/>
        <v>38.102561395615339</v>
      </c>
      <c r="H198" s="3">
        <f t="shared" si="66"/>
        <v>2.6793249845504761</v>
      </c>
      <c r="I198" s="3">
        <f t="shared" si="68"/>
        <v>35.410245582461357</v>
      </c>
      <c r="J198" s="5">
        <f t="shared" si="69"/>
        <v>9.2044985065093413E-2</v>
      </c>
      <c r="K198" s="5">
        <f t="shared" si="67"/>
        <v>9.2044985065093413E-2</v>
      </c>
    </row>
    <row r="199" spans="2:11" x14ac:dyDescent="0.25">
      <c r="B199" s="3" t="s">
        <v>13</v>
      </c>
      <c r="C199" s="4">
        <v>2024</v>
      </c>
      <c r="D199" s="4">
        <v>48</v>
      </c>
      <c r="E199" s="3">
        <f t="shared" si="63"/>
        <v>41.711618205532432</v>
      </c>
      <c r="F199" s="3">
        <f t="shared" si="64"/>
        <v>37.227764816023409</v>
      </c>
      <c r="G199" s="3">
        <f t="shared" si="70"/>
        <v>46.195471595041454</v>
      </c>
      <c r="H199" s="3">
        <f t="shared" si="66"/>
        <v>4.4838533895090222</v>
      </c>
      <c r="I199" s="3">
        <f t="shared" si="68"/>
        <v>40.781886380165815</v>
      </c>
      <c r="J199" s="5">
        <f t="shared" si="69"/>
        <v>0.15037736707987884</v>
      </c>
      <c r="K199" s="5">
        <f t="shared" si="67"/>
        <v>0.15037736707987884</v>
      </c>
    </row>
    <row r="200" spans="2:11" x14ac:dyDescent="0.25">
      <c r="B200" s="3" t="s">
        <v>2</v>
      </c>
      <c r="C200" s="4">
        <v>2024</v>
      </c>
      <c r="D200" s="4">
        <v>52</v>
      </c>
      <c r="E200" s="3">
        <f t="shared" si="63"/>
        <v>46.855809102766216</v>
      </c>
      <c r="F200" s="3">
        <f t="shared" si="64"/>
        <v>42.041786959394813</v>
      </c>
      <c r="G200" s="3">
        <f t="shared" si="70"/>
        <v>51.669831246137619</v>
      </c>
      <c r="H200" s="3">
        <f t="shared" si="66"/>
        <v>4.8140221433714032</v>
      </c>
      <c r="I200" s="3">
        <f t="shared" si="68"/>
        <v>50.679324984550476</v>
      </c>
      <c r="J200" s="5">
        <f t="shared" si="69"/>
        <v>2.5397596450952385E-2</v>
      </c>
      <c r="K200" s="5">
        <f t="shared" si="67"/>
        <v>2.5397596450952385E-2</v>
      </c>
    </row>
    <row r="201" spans="2:11" x14ac:dyDescent="0.25">
      <c r="B201" s="3" t="s">
        <v>4</v>
      </c>
      <c r="C201" s="4">
        <v>2024</v>
      </c>
      <c r="D201" s="4">
        <v>47</v>
      </c>
      <c r="E201" s="3">
        <f t="shared" si="63"/>
        <v>46.927904551383108</v>
      </c>
      <c r="F201" s="3">
        <f t="shared" si="64"/>
        <v>44.48484575538896</v>
      </c>
      <c r="G201" s="3">
        <f t="shared" si="70"/>
        <v>49.370963347377256</v>
      </c>
      <c r="H201" s="3">
        <f t="shared" si="66"/>
        <v>2.4430587959941477</v>
      </c>
      <c r="I201" s="3">
        <f t="shared" si="68"/>
        <v>56.483853389509022</v>
      </c>
      <c r="J201" s="5">
        <f t="shared" si="69"/>
        <v>-0.20178411467040472</v>
      </c>
      <c r="K201" s="5">
        <f t="shared" si="67"/>
        <v>0.20178411467040472</v>
      </c>
    </row>
    <row r="202" spans="2:11" x14ac:dyDescent="0.25">
      <c r="B202" s="3" t="s">
        <v>3</v>
      </c>
      <c r="C202" s="4">
        <v>2024</v>
      </c>
      <c r="D202" s="4">
        <v>40</v>
      </c>
      <c r="E202" s="3">
        <f t="shared" si="63"/>
        <v>43.463952275691554</v>
      </c>
      <c r="F202" s="3">
        <f t="shared" si="64"/>
        <v>43.974399015540257</v>
      </c>
      <c r="G202" s="3">
        <f t="shared" si="70"/>
        <v>42.953505535842851</v>
      </c>
      <c r="H202" s="3">
        <f t="shared" si="66"/>
        <v>-0.51044673984870315</v>
      </c>
      <c r="I202" s="3">
        <f t="shared" si="68"/>
        <v>51.814022143371403</v>
      </c>
      <c r="J202" s="5">
        <f t="shared" si="69"/>
        <v>-0.29535055358428508</v>
      </c>
      <c r="K202" s="5">
        <f t="shared" si="67"/>
        <v>0.29535055358428508</v>
      </c>
    </row>
    <row r="203" spans="2:11" x14ac:dyDescent="0.25">
      <c r="B203" s="3" t="s">
        <v>5</v>
      </c>
      <c r="C203" s="4">
        <v>2024</v>
      </c>
      <c r="D203" s="4">
        <v>36</v>
      </c>
      <c r="E203" s="3">
        <f t="shared" si="63"/>
        <v>39.731976137845777</v>
      </c>
      <c r="F203" s="3">
        <f t="shared" si="64"/>
        <v>41.853187576693017</v>
      </c>
      <c r="G203" s="3">
        <f t="shared" si="70"/>
        <v>37.610764698998537</v>
      </c>
      <c r="H203" s="3">
        <f t="shared" si="66"/>
        <v>-2.1212114388472401</v>
      </c>
      <c r="I203" s="3">
        <f t="shared" si="68"/>
        <v>42.443058795994148</v>
      </c>
      <c r="J203" s="5">
        <f t="shared" si="69"/>
        <v>-0.17897385544428188</v>
      </c>
      <c r="K203" s="5">
        <f t="shared" si="67"/>
        <v>0.17897385544428188</v>
      </c>
    </row>
    <row r="204" spans="2:11" x14ac:dyDescent="0.25">
      <c r="B204" s="3" t="s">
        <v>6</v>
      </c>
      <c r="C204" s="4">
        <v>2024</v>
      </c>
      <c r="D204" s="4">
        <v>35</v>
      </c>
      <c r="E204" s="3">
        <f t="shared" si="63"/>
        <v>37.365988068922888</v>
      </c>
      <c r="F204" s="3">
        <f t="shared" si="64"/>
        <v>39.609587822807953</v>
      </c>
      <c r="G204" s="3">
        <f t="shared" si="70"/>
        <v>35.122388315037824</v>
      </c>
      <c r="H204" s="3">
        <f t="shared" si="66"/>
        <v>-2.2435997538850643</v>
      </c>
      <c r="I204" s="3">
        <f t="shared" si="68"/>
        <v>35.489553260151297</v>
      </c>
      <c r="J204" s="5">
        <f t="shared" si="69"/>
        <v>-1.3987236004322768E-2</v>
      </c>
      <c r="K204" s="5">
        <f t="shared" si="67"/>
        <v>1.3987236004322768E-2</v>
      </c>
    </row>
    <row r="205" spans="2:11" x14ac:dyDescent="0.25">
      <c r="B205" s="3" t="s">
        <v>7</v>
      </c>
      <c r="C205" s="4">
        <v>2024</v>
      </c>
      <c r="D205" s="4">
        <v>31</v>
      </c>
      <c r="E205" s="3">
        <f t="shared" si="63"/>
        <v>34.182994034461444</v>
      </c>
      <c r="F205" s="3">
        <f t="shared" si="64"/>
        <v>36.896290928634699</v>
      </c>
      <c r="G205" s="3">
        <f t="shared" si="70"/>
        <v>31.46969714028819</v>
      </c>
      <c r="H205" s="3">
        <f t="shared" si="66"/>
        <v>-2.7132968941732543</v>
      </c>
      <c r="I205" s="3">
        <f t="shared" si="68"/>
        <v>32.87878856115276</v>
      </c>
      <c r="J205" s="5">
        <f t="shared" si="69"/>
        <v>-6.0606082617830966E-2</v>
      </c>
      <c r="K205" s="5">
        <f t="shared" si="67"/>
        <v>6.0606082617830966E-2</v>
      </c>
    </row>
    <row r="206" spans="2:11" x14ac:dyDescent="0.25">
      <c r="B206" s="6" t="s">
        <v>8</v>
      </c>
      <c r="C206" s="7">
        <v>2024</v>
      </c>
      <c r="D206" s="6"/>
      <c r="E206" s="8"/>
      <c r="F206" s="8"/>
      <c r="G206" s="8"/>
      <c r="H206" s="8"/>
      <c r="I206" s="9">
        <f t="shared" si="68"/>
        <v>28.756400246114936</v>
      </c>
      <c r="J206" s="6" t="s">
        <v>21</v>
      </c>
      <c r="K206" s="10">
        <f>100/36*SUM(K171:K205)</f>
        <v>10.234646902730246</v>
      </c>
    </row>
    <row r="211" spans="2:14" x14ac:dyDescent="0.25">
      <c r="B211" s="11" t="s">
        <v>0</v>
      </c>
      <c r="C211" s="11" t="s">
        <v>1</v>
      </c>
      <c r="D211" s="11" t="s">
        <v>22</v>
      </c>
      <c r="E211" s="11" t="s">
        <v>14</v>
      </c>
      <c r="F211" s="11" t="s">
        <v>15</v>
      </c>
      <c r="G211" s="11" t="s">
        <v>16</v>
      </c>
      <c r="H211" s="11" t="s">
        <v>17</v>
      </c>
      <c r="I211" s="11" t="s">
        <v>18</v>
      </c>
      <c r="J211" s="11" t="s">
        <v>19</v>
      </c>
      <c r="K211" s="11" t="s">
        <v>20</v>
      </c>
      <c r="N211" s="12">
        <v>0.4</v>
      </c>
    </row>
    <row r="212" spans="2:14" x14ac:dyDescent="0.25">
      <c r="B212" s="3" t="s">
        <v>8</v>
      </c>
      <c r="C212" s="3">
        <v>2021</v>
      </c>
      <c r="D212" s="3">
        <v>20</v>
      </c>
      <c r="E212" s="3">
        <v>20</v>
      </c>
      <c r="F212" s="3">
        <v>20</v>
      </c>
      <c r="G212" s="3">
        <v>20</v>
      </c>
      <c r="H212" s="3">
        <v>0</v>
      </c>
      <c r="I212" s="3"/>
      <c r="J212" s="4"/>
      <c r="K212" s="4"/>
      <c r="N212" s="12">
        <v>0.6</v>
      </c>
    </row>
    <row r="213" spans="2:14" x14ac:dyDescent="0.25">
      <c r="B213" s="3" t="s">
        <v>9</v>
      </c>
      <c r="C213" s="3">
        <v>2021</v>
      </c>
      <c r="D213" s="3">
        <v>25</v>
      </c>
      <c r="E213" s="3">
        <f>($N$211)*D213+($N$212)*E212</f>
        <v>22</v>
      </c>
      <c r="F213" s="3">
        <f>($N$211)*E213+($N$212)*F212</f>
        <v>20.8</v>
      </c>
      <c r="G213" s="3">
        <f>2*(E213)-(F213)</f>
        <v>23.2</v>
      </c>
      <c r="H213" s="3">
        <f>$N$211/$N$212*(E213-F213)</f>
        <v>0.7999999999999996</v>
      </c>
      <c r="I213" s="3">
        <f>G212+H212</f>
        <v>20</v>
      </c>
      <c r="J213" s="5">
        <f>(D213-I213)/D213</f>
        <v>0.2</v>
      </c>
      <c r="K213" s="5">
        <f t="shared" ref="K213:K247" si="71">ABS(J213)</f>
        <v>0.2</v>
      </c>
    </row>
    <row r="214" spans="2:14" x14ac:dyDescent="0.25">
      <c r="B214" s="3" t="s">
        <v>10</v>
      </c>
      <c r="C214" s="3">
        <v>2021</v>
      </c>
      <c r="D214" s="3">
        <v>27</v>
      </c>
      <c r="E214" s="3">
        <f t="shared" ref="E214:E247" si="72">($N$211)*D214+($N$212)*E213</f>
        <v>24</v>
      </c>
      <c r="F214" s="3">
        <f t="shared" ref="F214:F247" si="73">($N$211)*E214+($N$212)*F213</f>
        <v>22.080000000000002</v>
      </c>
      <c r="G214" s="3">
        <f t="shared" ref="G214:G222" si="74">2*(E214)-(F214)</f>
        <v>25.919999999999998</v>
      </c>
      <c r="H214" s="3">
        <f t="shared" ref="H214:H247" si="75">$N$211/$N$212*(E214-F214)</f>
        <v>1.2799999999999989</v>
      </c>
      <c r="I214" s="3">
        <f>G213+H213</f>
        <v>24</v>
      </c>
      <c r="J214" s="5">
        <f>(D214-I214)/D214</f>
        <v>0.1111111111111111</v>
      </c>
      <c r="K214" s="5">
        <f t="shared" si="71"/>
        <v>0.1111111111111111</v>
      </c>
    </row>
    <row r="215" spans="2:14" x14ac:dyDescent="0.25">
      <c r="B215" s="3" t="s">
        <v>11</v>
      </c>
      <c r="C215" s="3">
        <v>2021</v>
      </c>
      <c r="D215" s="3">
        <v>30</v>
      </c>
      <c r="E215" s="3">
        <f t="shared" si="72"/>
        <v>26.4</v>
      </c>
      <c r="F215" s="3">
        <f t="shared" si="73"/>
        <v>23.808</v>
      </c>
      <c r="G215" s="3">
        <f t="shared" si="74"/>
        <v>28.991999999999997</v>
      </c>
      <c r="H215" s="3">
        <f t="shared" si="75"/>
        <v>1.7279999999999993</v>
      </c>
      <c r="I215" s="3">
        <f t="shared" ref="I215:I248" si="76">G214+H214</f>
        <v>27.199999999999996</v>
      </c>
      <c r="J215" s="5">
        <f t="shared" ref="J215:J247" si="77">(D215-I215)/D215</f>
        <v>9.3333333333333476E-2</v>
      </c>
      <c r="K215" s="5">
        <f t="shared" si="71"/>
        <v>9.3333333333333476E-2</v>
      </c>
    </row>
    <row r="216" spans="2:14" x14ac:dyDescent="0.25">
      <c r="B216" s="3" t="s">
        <v>12</v>
      </c>
      <c r="C216" s="3">
        <v>2021</v>
      </c>
      <c r="D216" s="3">
        <v>32</v>
      </c>
      <c r="E216" s="3">
        <f t="shared" si="72"/>
        <v>28.64</v>
      </c>
      <c r="F216" s="3">
        <f t="shared" si="73"/>
        <v>25.7408</v>
      </c>
      <c r="G216" s="3">
        <f t="shared" si="74"/>
        <v>31.539200000000001</v>
      </c>
      <c r="H216" s="3">
        <f t="shared" si="75"/>
        <v>1.9328000000000005</v>
      </c>
      <c r="I216" s="3">
        <f t="shared" si="76"/>
        <v>30.719999999999995</v>
      </c>
      <c r="J216" s="5">
        <f t="shared" si="77"/>
        <v>4.0000000000000147E-2</v>
      </c>
      <c r="K216" s="5">
        <f t="shared" si="71"/>
        <v>4.0000000000000147E-2</v>
      </c>
    </row>
    <row r="217" spans="2:14" x14ac:dyDescent="0.25">
      <c r="B217" s="3" t="s">
        <v>13</v>
      </c>
      <c r="C217" s="3">
        <v>2021</v>
      </c>
      <c r="D217" s="3">
        <v>33</v>
      </c>
      <c r="E217" s="3">
        <f t="shared" si="72"/>
        <v>30.384</v>
      </c>
      <c r="F217" s="3">
        <f t="shared" si="73"/>
        <v>27.59808</v>
      </c>
      <c r="G217" s="3">
        <f t="shared" si="74"/>
        <v>33.169920000000005</v>
      </c>
      <c r="H217" s="3">
        <f t="shared" si="75"/>
        <v>1.8572800000000007</v>
      </c>
      <c r="I217" s="3">
        <f t="shared" si="76"/>
        <v>33.472000000000001</v>
      </c>
      <c r="J217" s="5">
        <f t="shared" si="77"/>
        <v>-1.4303030303030343E-2</v>
      </c>
      <c r="K217" s="5">
        <f t="shared" si="71"/>
        <v>1.4303030303030343E-2</v>
      </c>
    </row>
    <row r="218" spans="2:14" x14ac:dyDescent="0.25">
      <c r="B218" s="3" t="s">
        <v>2</v>
      </c>
      <c r="C218" s="3">
        <v>2021</v>
      </c>
      <c r="D218" s="3">
        <v>33</v>
      </c>
      <c r="E218" s="3">
        <f t="shared" si="72"/>
        <v>31.430399999999999</v>
      </c>
      <c r="F218" s="3">
        <f t="shared" si="73"/>
        <v>29.131007999999998</v>
      </c>
      <c r="G218" s="3">
        <f t="shared" si="74"/>
        <v>33.729792000000003</v>
      </c>
      <c r="H218" s="3">
        <f t="shared" si="75"/>
        <v>1.5329280000000007</v>
      </c>
      <c r="I218" s="3">
        <f t="shared" si="76"/>
        <v>35.027200000000008</v>
      </c>
      <c r="J218" s="5">
        <f t="shared" si="77"/>
        <v>-6.1430303030303265E-2</v>
      </c>
      <c r="K218" s="5">
        <f t="shared" si="71"/>
        <v>6.1430303030303265E-2</v>
      </c>
    </row>
    <row r="219" spans="2:14" x14ac:dyDescent="0.25">
      <c r="B219" s="3" t="s">
        <v>4</v>
      </c>
      <c r="C219" s="3">
        <v>2022</v>
      </c>
      <c r="D219" s="3">
        <v>30</v>
      </c>
      <c r="E219" s="3">
        <f t="shared" si="72"/>
        <v>30.858239999999999</v>
      </c>
      <c r="F219" s="3">
        <f t="shared" si="73"/>
        <v>29.821900800000002</v>
      </c>
      <c r="G219" s="3">
        <f t="shared" si="74"/>
        <v>31.894579199999995</v>
      </c>
      <c r="H219" s="3">
        <f t="shared" si="75"/>
        <v>0.69089279999999798</v>
      </c>
      <c r="I219" s="3">
        <f t="shared" si="76"/>
        <v>35.262720000000002</v>
      </c>
      <c r="J219" s="5">
        <f t="shared" si="77"/>
        <v>-0.17542400000000005</v>
      </c>
      <c r="K219" s="5">
        <f t="shared" si="71"/>
        <v>0.17542400000000005</v>
      </c>
    </row>
    <row r="220" spans="2:14" x14ac:dyDescent="0.25">
      <c r="B220" s="3" t="s">
        <v>3</v>
      </c>
      <c r="C220" s="3">
        <v>2022</v>
      </c>
      <c r="D220" s="3">
        <v>28</v>
      </c>
      <c r="E220" s="3">
        <f t="shared" si="72"/>
        <v>29.714944000000003</v>
      </c>
      <c r="F220" s="3">
        <f t="shared" si="73"/>
        <v>29.779118080000003</v>
      </c>
      <c r="G220" s="3">
        <f t="shared" si="74"/>
        <v>29.650769920000002</v>
      </c>
      <c r="H220" s="3">
        <f t="shared" si="75"/>
        <v>-4.2782720000000538E-2</v>
      </c>
      <c r="I220" s="3">
        <f t="shared" si="76"/>
        <v>32.585471999999996</v>
      </c>
      <c r="J220" s="5">
        <f t="shared" si="77"/>
        <v>-0.16376685714285699</v>
      </c>
      <c r="K220" s="5">
        <f t="shared" si="71"/>
        <v>0.16376685714285699</v>
      </c>
    </row>
    <row r="221" spans="2:14" x14ac:dyDescent="0.25">
      <c r="B221" s="3" t="s">
        <v>5</v>
      </c>
      <c r="C221" s="3">
        <v>2022</v>
      </c>
      <c r="D221" s="3">
        <v>26</v>
      </c>
      <c r="E221" s="3">
        <f t="shared" si="72"/>
        <v>28.228966400000004</v>
      </c>
      <c r="F221" s="3">
        <f t="shared" si="73"/>
        <v>29.159057408000002</v>
      </c>
      <c r="G221" s="3">
        <f t="shared" si="74"/>
        <v>27.298875392000006</v>
      </c>
      <c r="H221" s="3">
        <f t="shared" si="75"/>
        <v>-0.6200606719999987</v>
      </c>
      <c r="I221" s="3">
        <f t="shared" si="76"/>
        <v>29.6079872</v>
      </c>
      <c r="J221" s="5">
        <f t="shared" si="77"/>
        <v>-0.13876873846153848</v>
      </c>
      <c r="K221" s="5">
        <f t="shared" si="71"/>
        <v>0.13876873846153848</v>
      </c>
    </row>
    <row r="222" spans="2:14" x14ac:dyDescent="0.25">
      <c r="B222" s="3" t="s">
        <v>6</v>
      </c>
      <c r="C222" s="3">
        <v>2022</v>
      </c>
      <c r="D222" s="3">
        <v>26</v>
      </c>
      <c r="E222" s="3">
        <f t="shared" si="72"/>
        <v>27.337379840000004</v>
      </c>
      <c r="F222" s="3">
        <f t="shared" si="73"/>
        <v>28.430386380800002</v>
      </c>
      <c r="G222" s="3">
        <f t="shared" si="74"/>
        <v>26.244373299200006</v>
      </c>
      <c r="H222" s="3">
        <f t="shared" si="75"/>
        <v>-0.72867102719999843</v>
      </c>
      <c r="I222" s="3">
        <f t="shared" si="76"/>
        <v>26.678814720000009</v>
      </c>
      <c r="J222" s="5">
        <f t="shared" si="77"/>
        <v>-2.6108258461538806E-2</v>
      </c>
      <c r="K222" s="5">
        <f t="shared" si="71"/>
        <v>2.6108258461538806E-2</v>
      </c>
    </row>
    <row r="223" spans="2:14" x14ac:dyDescent="0.25">
      <c r="B223" s="3" t="s">
        <v>7</v>
      </c>
      <c r="C223" s="3">
        <v>2022</v>
      </c>
      <c r="D223" s="3">
        <v>22</v>
      </c>
      <c r="E223" s="3">
        <f t="shared" si="72"/>
        <v>25.202427904000004</v>
      </c>
      <c r="F223" s="3">
        <f t="shared" si="73"/>
        <v>27.139202990080001</v>
      </c>
      <c r="G223" s="3">
        <f>2*(E223)-(F223)</f>
        <v>23.265652817920007</v>
      </c>
      <c r="H223" s="3">
        <f t="shared" si="75"/>
        <v>-1.2911833907199983</v>
      </c>
      <c r="I223" s="3">
        <f t="shared" si="76"/>
        <v>25.515702272000009</v>
      </c>
      <c r="J223" s="5">
        <f t="shared" si="77"/>
        <v>-0.15980464872727315</v>
      </c>
      <c r="K223" s="5">
        <f t="shared" si="71"/>
        <v>0.15980464872727315</v>
      </c>
    </row>
    <row r="224" spans="2:14" x14ac:dyDescent="0.25">
      <c r="B224" s="3" t="s">
        <v>8</v>
      </c>
      <c r="C224" s="3">
        <v>2022</v>
      </c>
      <c r="D224" s="4">
        <v>20</v>
      </c>
      <c r="E224" s="3">
        <f t="shared" si="72"/>
        <v>23.121456742399999</v>
      </c>
      <c r="F224" s="3">
        <f t="shared" si="73"/>
        <v>25.532104491007999</v>
      </c>
      <c r="G224" s="3">
        <f t="shared" ref="G224:G247" si="78">2*(E224)-(F224)</f>
        <v>20.710808993792</v>
      </c>
      <c r="H224" s="3">
        <f t="shared" si="75"/>
        <v>-1.6070984990719999</v>
      </c>
      <c r="I224" s="3">
        <f t="shared" si="76"/>
        <v>21.97446942720001</v>
      </c>
      <c r="J224" s="5">
        <f t="shared" si="77"/>
        <v>-9.8723471360000481E-2</v>
      </c>
      <c r="K224" s="5">
        <f t="shared" si="71"/>
        <v>9.8723471360000481E-2</v>
      </c>
    </row>
    <row r="225" spans="2:11" x14ac:dyDescent="0.25">
      <c r="B225" s="3" t="s">
        <v>9</v>
      </c>
      <c r="C225" s="3">
        <v>2022</v>
      </c>
      <c r="D225" s="4">
        <v>25</v>
      </c>
      <c r="E225" s="3">
        <f t="shared" si="72"/>
        <v>23.87287404544</v>
      </c>
      <c r="F225" s="3">
        <f t="shared" si="73"/>
        <v>24.868412312780798</v>
      </c>
      <c r="G225" s="3">
        <f t="shared" si="78"/>
        <v>22.877335778099201</v>
      </c>
      <c r="H225" s="3">
        <f t="shared" si="75"/>
        <v>-0.66369217822719884</v>
      </c>
      <c r="I225" s="3">
        <f t="shared" si="76"/>
        <v>19.103710494720001</v>
      </c>
      <c r="J225" s="5">
        <f t="shared" si="77"/>
        <v>0.23585158021119995</v>
      </c>
      <c r="K225" s="5">
        <f t="shared" si="71"/>
        <v>0.23585158021119995</v>
      </c>
    </row>
    <row r="226" spans="2:11" x14ac:dyDescent="0.25">
      <c r="B226" s="3" t="s">
        <v>10</v>
      </c>
      <c r="C226" s="3">
        <v>2022</v>
      </c>
      <c r="D226" s="4">
        <v>29</v>
      </c>
      <c r="E226" s="3">
        <f t="shared" si="72"/>
        <v>25.923724427263998</v>
      </c>
      <c r="F226" s="3">
        <f t="shared" si="73"/>
        <v>25.290537158574079</v>
      </c>
      <c r="G226" s="3">
        <f t="shared" si="78"/>
        <v>26.556911695953918</v>
      </c>
      <c r="H226" s="3">
        <f t="shared" si="75"/>
        <v>0.4221248457932798</v>
      </c>
      <c r="I226" s="3">
        <f t="shared" si="76"/>
        <v>22.213643599872004</v>
      </c>
      <c r="J226" s="5">
        <f t="shared" si="77"/>
        <v>0.23401228965958606</v>
      </c>
      <c r="K226" s="5">
        <f t="shared" si="71"/>
        <v>0.23401228965958606</v>
      </c>
    </row>
    <row r="227" spans="2:11" x14ac:dyDescent="0.25">
      <c r="B227" s="3" t="s">
        <v>11</v>
      </c>
      <c r="C227" s="3">
        <v>2022</v>
      </c>
      <c r="D227" s="4">
        <v>30</v>
      </c>
      <c r="E227" s="3">
        <f t="shared" si="72"/>
        <v>27.554234656358396</v>
      </c>
      <c r="F227" s="3">
        <f t="shared" si="73"/>
        <v>26.196016157687804</v>
      </c>
      <c r="G227" s="3">
        <f t="shared" si="78"/>
        <v>28.912453155028988</v>
      </c>
      <c r="H227" s="3">
        <f t="shared" si="75"/>
        <v>0.90547899911372798</v>
      </c>
      <c r="I227" s="3">
        <f t="shared" si="76"/>
        <v>26.979036541747199</v>
      </c>
      <c r="J227" s="5">
        <f t="shared" si="77"/>
        <v>0.10069878194176003</v>
      </c>
      <c r="K227" s="5">
        <f t="shared" si="71"/>
        <v>0.10069878194176003</v>
      </c>
    </row>
    <row r="228" spans="2:11" x14ac:dyDescent="0.25">
      <c r="B228" s="3" t="s">
        <v>12</v>
      </c>
      <c r="C228" s="3">
        <v>2022</v>
      </c>
      <c r="D228" s="4">
        <v>33</v>
      </c>
      <c r="E228" s="3">
        <f t="shared" si="72"/>
        <v>29.732540793815041</v>
      </c>
      <c r="F228" s="3">
        <f t="shared" si="73"/>
        <v>27.610626012138699</v>
      </c>
      <c r="G228" s="3">
        <f t="shared" si="78"/>
        <v>31.854455575491382</v>
      </c>
      <c r="H228" s="3">
        <f t="shared" si="75"/>
        <v>1.4146098544508947</v>
      </c>
      <c r="I228" s="3">
        <f t="shared" si="76"/>
        <v>29.817932154142717</v>
      </c>
      <c r="J228" s="5">
        <f t="shared" si="77"/>
        <v>9.6426298359311602E-2</v>
      </c>
      <c r="K228" s="5">
        <f t="shared" si="71"/>
        <v>9.6426298359311602E-2</v>
      </c>
    </row>
    <row r="229" spans="2:11" x14ac:dyDescent="0.25">
      <c r="B229" s="3" t="s">
        <v>13</v>
      </c>
      <c r="C229" s="3">
        <v>2022</v>
      </c>
      <c r="D229" s="4">
        <v>37</v>
      </c>
      <c r="E229" s="3">
        <f t="shared" si="72"/>
        <v>32.639524476289026</v>
      </c>
      <c r="F229" s="3">
        <f t="shared" si="73"/>
        <v>29.62218539779883</v>
      </c>
      <c r="G229" s="3">
        <f t="shared" si="78"/>
        <v>35.656863554779221</v>
      </c>
      <c r="H229" s="3">
        <f t="shared" si="75"/>
        <v>2.0115593856601306</v>
      </c>
      <c r="I229" s="3">
        <f t="shared" si="76"/>
        <v>33.26906542994228</v>
      </c>
      <c r="J229" s="5">
        <f t="shared" si="77"/>
        <v>0.10083606946101945</v>
      </c>
      <c r="K229" s="5">
        <f t="shared" si="71"/>
        <v>0.10083606946101945</v>
      </c>
    </row>
    <row r="230" spans="2:11" x14ac:dyDescent="0.25">
      <c r="B230" s="3" t="s">
        <v>2</v>
      </c>
      <c r="C230" s="3">
        <v>2022</v>
      </c>
      <c r="D230" s="4">
        <v>39</v>
      </c>
      <c r="E230" s="3">
        <f t="shared" si="72"/>
        <v>35.183714685773417</v>
      </c>
      <c r="F230" s="3">
        <f t="shared" si="73"/>
        <v>31.846797112988668</v>
      </c>
      <c r="G230" s="3">
        <f t="shared" si="78"/>
        <v>38.520632258558166</v>
      </c>
      <c r="H230" s="3">
        <f t="shared" si="75"/>
        <v>2.224611715189833</v>
      </c>
      <c r="I230" s="3">
        <f t="shared" si="76"/>
        <v>37.668422940439349</v>
      </c>
      <c r="J230" s="5">
        <f t="shared" si="77"/>
        <v>3.4143001527196175E-2</v>
      </c>
      <c r="K230" s="5">
        <f t="shared" si="71"/>
        <v>3.4143001527196175E-2</v>
      </c>
    </row>
    <row r="231" spans="2:11" x14ac:dyDescent="0.25">
      <c r="B231" s="3" t="s">
        <v>4</v>
      </c>
      <c r="C231" s="4">
        <v>2023</v>
      </c>
      <c r="D231" s="4">
        <v>35</v>
      </c>
      <c r="E231" s="3">
        <f t="shared" si="72"/>
        <v>35.110228811464054</v>
      </c>
      <c r="F231" s="3">
        <f t="shared" si="73"/>
        <v>33.152169792378821</v>
      </c>
      <c r="G231" s="3">
        <f t="shared" si="78"/>
        <v>37.068287830549288</v>
      </c>
      <c r="H231" s="3">
        <f t="shared" si="75"/>
        <v>1.3053726793901557</v>
      </c>
      <c r="I231" s="3">
        <f t="shared" si="76"/>
        <v>40.745243973747996</v>
      </c>
      <c r="J231" s="5">
        <f t="shared" si="77"/>
        <v>-0.16414982782137133</v>
      </c>
      <c r="K231" s="5">
        <f t="shared" si="71"/>
        <v>0.16414982782137133</v>
      </c>
    </row>
    <row r="232" spans="2:11" x14ac:dyDescent="0.25">
      <c r="B232" s="3" t="s">
        <v>3</v>
      </c>
      <c r="C232" s="4">
        <v>2023</v>
      </c>
      <c r="D232" s="4">
        <v>31</v>
      </c>
      <c r="E232" s="3">
        <f t="shared" si="72"/>
        <v>33.466137286878435</v>
      </c>
      <c r="F232" s="3">
        <f t="shared" si="73"/>
        <v>33.277756790178671</v>
      </c>
      <c r="G232" s="3">
        <f t="shared" si="78"/>
        <v>33.6545177835782</v>
      </c>
      <c r="H232" s="3">
        <f t="shared" si="75"/>
        <v>0.12558699779984298</v>
      </c>
      <c r="I232" s="3">
        <f t="shared" si="76"/>
        <v>38.373660509939441</v>
      </c>
      <c r="J232" s="5">
        <f t="shared" si="77"/>
        <v>-0.2378600164496594</v>
      </c>
      <c r="K232" s="5">
        <f t="shared" si="71"/>
        <v>0.2378600164496594</v>
      </c>
    </row>
    <row r="233" spans="2:11" x14ac:dyDescent="0.25">
      <c r="B233" s="3" t="s">
        <v>5</v>
      </c>
      <c r="C233" s="4">
        <v>2023</v>
      </c>
      <c r="D233" s="4">
        <v>29</v>
      </c>
      <c r="E233" s="3">
        <f t="shared" si="72"/>
        <v>31.679682372127061</v>
      </c>
      <c r="F233" s="3">
        <f t="shared" si="73"/>
        <v>32.63852702295803</v>
      </c>
      <c r="G233" s="3">
        <f t="shared" si="78"/>
        <v>30.720837721296093</v>
      </c>
      <c r="H233" s="3">
        <f t="shared" si="75"/>
        <v>-0.63922976722064584</v>
      </c>
      <c r="I233" s="3">
        <f t="shared" si="76"/>
        <v>33.780104781378043</v>
      </c>
      <c r="J233" s="5">
        <f t="shared" si="77"/>
        <v>-0.16483119935786356</v>
      </c>
      <c r="K233" s="5">
        <f t="shared" si="71"/>
        <v>0.16483119935786356</v>
      </c>
    </row>
    <row r="234" spans="2:11" x14ac:dyDescent="0.25">
      <c r="B234" s="3" t="s">
        <v>6</v>
      </c>
      <c r="C234" s="4">
        <v>2023</v>
      </c>
      <c r="D234" s="4">
        <v>29</v>
      </c>
      <c r="E234" s="3">
        <f t="shared" si="72"/>
        <v>30.607809423276237</v>
      </c>
      <c r="F234" s="3">
        <f t="shared" si="73"/>
        <v>31.826239983085316</v>
      </c>
      <c r="G234" s="3">
        <f t="shared" si="78"/>
        <v>29.389378863467158</v>
      </c>
      <c r="H234" s="3">
        <f t="shared" si="75"/>
        <v>-0.81228703987271922</v>
      </c>
      <c r="I234" s="3">
        <f t="shared" si="76"/>
        <v>30.081607954075448</v>
      </c>
      <c r="J234" s="5">
        <f t="shared" si="77"/>
        <v>-3.7296826002601653E-2</v>
      </c>
      <c r="K234" s="5">
        <f t="shared" si="71"/>
        <v>3.7296826002601653E-2</v>
      </c>
    </row>
    <row r="235" spans="2:11" x14ac:dyDescent="0.25">
      <c r="B235" s="3" t="s">
        <v>7</v>
      </c>
      <c r="C235" s="4">
        <v>2023</v>
      </c>
      <c r="D235" s="4">
        <v>27</v>
      </c>
      <c r="E235" s="3">
        <f t="shared" si="72"/>
        <v>29.164685653965741</v>
      </c>
      <c r="F235" s="3">
        <f t="shared" si="73"/>
        <v>30.761618251437486</v>
      </c>
      <c r="G235" s="3">
        <f t="shared" si="78"/>
        <v>27.567753056493995</v>
      </c>
      <c r="H235" s="3">
        <f t="shared" si="75"/>
        <v>-1.0646217316478306</v>
      </c>
      <c r="I235" s="3">
        <f t="shared" si="76"/>
        <v>28.57709182359444</v>
      </c>
      <c r="J235" s="5">
        <f t="shared" si="77"/>
        <v>-5.8410808281275553E-2</v>
      </c>
      <c r="K235" s="5">
        <f t="shared" si="71"/>
        <v>5.8410808281275553E-2</v>
      </c>
    </row>
    <row r="236" spans="2:11" x14ac:dyDescent="0.25">
      <c r="B236" s="3" t="s">
        <v>8</v>
      </c>
      <c r="C236" s="4">
        <v>2023</v>
      </c>
      <c r="D236" s="4">
        <v>25</v>
      </c>
      <c r="E236" s="3">
        <f t="shared" si="72"/>
        <v>27.498811392379444</v>
      </c>
      <c r="F236" s="3">
        <f t="shared" si="73"/>
        <v>29.456495507814267</v>
      </c>
      <c r="G236" s="3">
        <f t="shared" si="78"/>
        <v>25.541127276944621</v>
      </c>
      <c r="H236" s="3">
        <f t="shared" si="75"/>
        <v>-1.3051227436232156</v>
      </c>
      <c r="I236" s="3">
        <f t="shared" si="76"/>
        <v>26.503131324846166</v>
      </c>
      <c r="J236" s="5">
        <f t="shared" si="77"/>
        <v>-6.0125252993846627E-2</v>
      </c>
      <c r="K236" s="5">
        <f t="shared" si="71"/>
        <v>6.0125252993846627E-2</v>
      </c>
    </row>
    <row r="237" spans="2:11" x14ac:dyDescent="0.25">
      <c r="B237" s="3" t="s">
        <v>9</v>
      </c>
      <c r="C237" s="4">
        <v>2023</v>
      </c>
      <c r="D237" s="4">
        <v>28</v>
      </c>
      <c r="E237" s="3">
        <f t="shared" si="72"/>
        <v>27.699286835427664</v>
      </c>
      <c r="F237" s="3">
        <f t="shared" si="73"/>
        <v>28.753612038859625</v>
      </c>
      <c r="G237" s="3">
        <f t="shared" si="78"/>
        <v>26.644961631995702</v>
      </c>
      <c r="H237" s="3">
        <f t="shared" si="75"/>
        <v>-0.70288346895464104</v>
      </c>
      <c r="I237" s="3">
        <f t="shared" si="76"/>
        <v>24.236004533321406</v>
      </c>
      <c r="J237" s="5">
        <f t="shared" si="77"/>
        <v>0.13442840952423549</v>
      </c>
      <c r="K237" s="5">
        <f t="shared" si="71"/>
        <v>0.13442840952423549</v>
      </c>
    </row>
    <row r="238" spans="2:11" x14ac:dyDescent="0.25">
      <c r="B238" s="3" t="s">
        <v>10</v>
      </c>
      <c r="C238" s="4">
        <v>2023</v>
      </c>
      <c r="D238" s="4">
        <v>30</v>
      </c>
      <c r="E238" s="3">
        <f t="shared" si="72"/>
        <v>28.619572101256598</v>
      </c>
      <c r="F238" s="3">
        <f t="shared" si="73"/>
        <v>28.699996063818411</v>
      </c>
      <c r="G238" s="3">
        <f t="shared" si="78"/>
        <v>28.539148138694785</v>
      </c>
      <c r="H238" s="3">
        <f t="shared" si="75"/>
        <v>-5.3615975041208713E-2</v>
      </c>
      <c r="I238" s="3">
        <f t="shared" si="76"/>
        <v>25.94207816304106</v>
      </c>
      <c r="J238" s="5">
        <f t="shared" si="77"/>
        <v>0.13526406123196466</v>
      </c>
      <c r="K238" s="5">
        <f t="shared" si="71"/>
        <v>0.13526406123196466</v>
      </c>
    </row>
    <row r="239" spans="2:11" x14ac:dyDescent="0.25">
      <c r="B239" s="3" t="s">
        <v>11</v>
      </c>
      <c r="C239" s="4">
        <v>2023</v>
      </c>
      <c r="D239" s="4">
        <v>35</v>
      </c>
      <c r="E239" s="3">
        <f t="shared" si="72"/>
        <v>31.171743260753956</v>
      </c>
      <c r="F239" s="3">
        <f t="shared" si="73"/>
        <v>29.688694942592626</v>
      </c>
      <c r="G239" s="3">
        <f t="shared" si="78"/>
        <v>32.654791578915287</v>
      </c>
      <c r="H239" s="3">
        <f t="shared" si="75"/>
        <v>0.98869887877422036</v>
      </c>
      <c r="I239" s="3">
        <f t="shared" si="76"/>
        <v>28.485532163653577</v>
      </c>
      <c r="J239" s="5">
        <f t="shared" si="77"/>
        <v>0.18612765246704066</v>
      </c>
      <c r="K239" s="5">
        <f t="shared" si="71"/>
        <v>0.18612765246704066</v>
      </c>
    </row>
    <row r="240" spans="2:11" x14ac:dyDescent="0.25">
      <c r="B240" s="3" t="s">
        <v>12</v>
      </c>
      <c r="C240" s="4">
        <v>2023</v>
      </c>
      <c r="D240" s="4">
        <v>39</v>
      </c>
      <c r="E240" s="3">
        <f t="shared" si="72"/>
        <v>34.30304595645238</v>
      </c>
      <c r="F240" s="3">
        <f t="shared" si="73"/>
        <v>31.534435348136526</v>
      </c>
      <c r="G240" s="3">
        <f t="shared" si="78"/>
        <v>37.071656564768233</v>
      </c>
      <c r="H240" s="3">
        <f t="shared" si="75"/>
        <v>1.8457404055439026</v>
      </c>
      <c r="I240" s="3">
        <f t="shared" si="76"/>
        <v>33.643490457689509</v>
      </c>
      <c r="J240" s="5">
        <f t="shared" si="77"/>
        <v>0.13734639852078181</v>
      </c>
      <c r="K240" s="5">
        <f t="shared" si="71"/>
        <v>0.13734639852078181</v>
      </c>
    </row>
    <row r="241" spans="2:14" x14ac:dyDescent="0.25">
      <c r="B241" s="3" t="s">
        <v>13</v>
      </c>
      <c r="C241" s="4">
        <v>2024</v>
      </c>
      <c r="D241" s="4">
        <v>48</v>
      </c>
      <c r="E241" s="3">
        <f t="shared" si="72"/>
        <v>39.781827573871425</v>
      </c>
      <c r="F241" s="3">
        <f t="shared" si="73"/>
        <v>34.833392238430484</v>
      </c>
      <c r="G241" s="3">
        <f t="shared" si="78"/>
        <v>44.730262909312366</v>
      </c>
      <c r="H241" s="3">
        <f t="shared" si="75"/>
        <v>3.2989568902939608</v>
      </c>
      <c r="I241" s="3">
        <f t="shared" si="76"/>
        <v>38.917396970312133</v>
      </c>
      <c r="J241" s="5">
        <f t="shared" si="77"/>
        <v>0.18922089645183057</v>
      </c>
      <c r="K241" s="5">
        <f t="shared" si="71"/>
        <v>0.18922089645183057</v>
      </c>
    </row>
    <row r="242" spans="2:14" x14ac:dyDescent="0.25">
      <c r="B242" s="3" t="s">
        <v>2</v>
      </c>
      <c r="C242" s="4">
        <v>2024</v>
      </c>
      <c r="D242" s="4">
        <v>52</v>
      </c>
      <c r="E242" s="3">
        <f t="shared" si="72"/>
        <v>44.669096544322855</v>
      </c>
      <c r="F242" s="3">
        <f t="shared" si="73"/>
        <v>38.767673960787434</v>
      </c>
      <c r="G242" s="3">
        <f t="shared" si="78"/>
        <v>50.570519127858276</v>
      </c>
      <c r="H242" s="3">
        <f t="shared" si="75"/>
        <v>3.934281722356948</v>
      </c>
      <c r="I242" s="3">
        <f t="shared" si="76"/>
        <v>48.029219799606324</v>
      </c>
      <c r="J242" s="5">
        <f t="shared" si="77"/>
        <v>7.636115769987839E-2</v>
      </c>
      <c r="K242" s="5">
        <f t="shared" si="71"/>
        <v>7.636115769987839E-2</v>
      </c>
    </row>
    <row r="243" spans="2:14" x14ac:dyDescent="0.25">
      <c r="B243" s="3" t="s">
        <v>4</v>
      </c>
      <c r="C243" s="4">
        <v>2024</v>
      </c>
      <c r="D243" s="4">
        <v>47</v>
      </c>
      <c r="E243" s="3">
        <f t="shared" si="72"/>
        <v>45.60145792659371</v>
      </c>
      <c r="F243" s="3">
        <f t="shared" si="73"/>
        <v>41.50118754710995</v>
      </c>
      <c r="G243" s="3">
        <f t="shared" si="78"/>
        <v>49.70172830607747</v>
      </c>
      <c r="H243" s="3">
        <f t="shared" si="75"/>
        <v>2.7335135863225068</v>
      </c>
      <c r="I243" s="3">
        <f t="shared" si="76"/>
        <v>54.504800850215226</v>
      </c>
      <c r="J243" s="5">
        <f t="shared" si="77"/>
        <v>-0.15967661383436652</v>
      </c>
      <c r="K243" s="5">
        <f t="shared" si="71"/>
        <v>0.15967661383436652</v>
      </c>
    </row>
    <row r="244" spans="2:14" x14ac:dyDescent="0.25">
      <c r="B244" s="3" t="s">
        <v>3</v>
      </c>
      <c r="C244" s="4">
        <v>2024</v>
      </c>
      <c r="D244" s="4">
        <v>40</v>
      </c>
      <c r="E244" s="3">
        <f t="shared" si="72"/>
        <v>43.360874755956225</v>
      </c>
      <c r="F244" s="3">
        <f t="shared" si="73"/>
        <v>42.24506243064846</v>
      </c>
      <c r="G244" s="3">
        <f t="shared" si="78"/>
        <v>44.476687081263989</v>
      </c>
      <c r="H244" s="3">
        <f t="shared" si="75"/>
        <v>0.74387488353850995</v>
      </c>
      <c r="I244" s="3">
        <f t="shared" si="76"/>
        <v>52.435241892399979</v>
      </c>
      <c r="J244" s="5">
        <f t="shared" si="77"/>
        <v>-0.31088104730999949</v>
      </c>
      <c r="K244" s="5">
        <f t="shared" si="71"/>
        <v>0.31088104730999949</v>
      </c>
    </row>
    <row r="245" spans="2:14" x14ac:dyDescent="0.25">
      <c r="B245" s="3" t="s">
        <v>5</v>
      </c>
      <c r="C245" s="4">
        <v>2024</v>
      </c>
      <c r="D245" s="4">
        <v>36</v>
      </c>
      <c r="E245" s="3">
        <f t="shared" si="72"/>
        <v>40.416524853573733</v>
      </c>
      <c r="F245" s="3">
        <f t="shared" si="73"/>
        <v>41.513647399818566</v>
      </c>
      <c r="G245" s="3">
        <f t="shared" si="78"/>
        <v>39.3194023073289</v>
      </c>
      <c r="H245" s="3">
        <f t="shared" si="75"/>
        <v>-0.73141503082988879</v>
      </c>
      <c r="I245" s="3">
        <f t="shared" si="76"/>
        <v>45.220561964802499</v>
      </c>
      <c r="J245" s="5">
        <f t="shared" si="77"/>
        <v>-0.25612672124451386</v>
      </c>
      <c r="K245" s="5">
        <f t="shared" si="71"/>
        <v>0.25612672124451386</v>
      </c>
    </row>
    <row r="246" spans="2:14" x14ac:dyDescent="0.25">
      <c r="B246" s="3" t="s">
        <v>6</v>
      </c>
      <c r="C246" s="4">
        <v>2024</v>
      </c>
      <c r="D246" s="4">
        <v>35</v>
      </c>
      <c r="E246" s="3">
        <f t="shared" si="72"/>
        <v>38.249914912144234</v>
      </c>
      <c r="F246" s="3">
        <f t="shared" si="73"/>
        <v>40.208154404748832</v>
      </c>
      <c r="G246" s="3">
        <f t="shared" si="78"/>
        <v>36.291675419539636</v>
      </c>
      <c r="H246" s="3">
        <f t="shared" si="75"/>
        <v>-1.305492995069732</v>
      </c>
      <c r="I246" s="3">
        <f t="shared" si="76"/>
        <v>38.587987276499014</v>
      </c>
      <c r="J246" s="5">
        <f t="shared" si="77"/>
        <v>-0.10251392218568611</v>
      </c>
      <c r="K246" s="5">
        <f t="shared" si="71"/>
        <v>0.10251392218568611</v>
      </c>
    </row>
    <row r="247" spans="2:14" x14ac:dyDescent="0.25">
      <c r="B247" s="3" t="s">
        <v>7</v>
      </c>
      <c r="C247" s="4">
        <v>2024</v>
      </c>
      <c r="D247" s="4">
        <v>31</v>
      </c>
      <c r="E247" s="3">
        <f t="shared" si="72"/>
        <v>35.349948947286542</v>
      </c>
      <c r="F247" s="3">
        <f t="shared" si="73"/>
        <v>38.264872221763916</v>
      </c>
      <c r="G247" s="3">
        <f t="shared" si="78"/>
        <v>32.435025672809168</v>
      </c>
      <c r="H247" s="3">
        <f t="shared" si="75"/>
        <v>-1.9432821829849163</v>
      </c>
      <c r="I247" s="3">
        <f t="shared" si="76"/>
        <v>34.986182424469902</v>
      </c>
      <c r="J247" s="5">
        <f t="shared" si="77"/>
        <v>-0.12858652982160976</v>
      </c>
      <c r="K247" s="5">
        <f t="shared" si="71"/>
        <v>0.12858652982160976</v>
      </c>
    </row>
    <row r="248" spans="2:14" x14ac:dyDescent="0.25">
      <c r="B248" s="6" t="s">
        <v>8</v>
      </c>
      <c r="C248" s="7">
        <v>2024</v>
      </c>
      <c r="D248" s="6"/>
      <c r="E248" s="8"/>
      <c r="F248" s="8"/>
      <c r="G248" s="8"/>
      <c r="H248" s="8"/>
      <c r="I248" s="9">
        <f t="shared" si="76"/>
        <v>30.491743489824252</v>
      </c>
      <c r="J248" s="6" t="s">
        <v>21</v>
      </c>
      <c r="K248" s="10">
        <f>100/36*SUM(K213:K247)</f>
        <v>12.844303095248849</v>
      </c>
    </row>
    <row r="253" spans="2:14" x14ac:dyDescent="0.25">
      <c r="B253" s="11" t="s">
        <v>0</v>
      </c>
      <c r="C253" s="11" t="s">
        <v>1</v>
      </c>
      <c r="D253" s="11" t="s">
        <v>22</v>
      </c>
      <c r="E253" s="11" t="s">
        <v>14</v>
      </c>
      <c r="F253" s="11" t="s">
        <v>15</v>
      </c>
      <c r="G253" s="11" t="s">
        <v>16</v>
      </c>
      <c r="H253" s="11" t="s">
        <v>17</v>
      </c>
      <c r="I253" s="11" t="s">
        <v>18</v>
      </c>
      <c r="J253" s="11" t="s">
        <v>19</v>
      </c>
      <c r="K253" s="11" t="s">
        <v>20</v>
      </c>
      <c r="N253" s="12">
        <v>0.3</v>
      </c>
    </row>
    <row r="254" spans="2:14" x14ac:dyDescent="0.25">
      <c r="B254" s="3" t="s">
        <v>8</v>
      </c>
      <c r="C254" s="3">
        <v>2021</v>
      </c>
      <c r="D254" s="3">
        <v>20</v>
      </c>
      <c r="E254" s="3">
        <v>20</v>
      </c>
      <c r="F254" s="3">
        <v>20</v>
      </c>
      <c r="G254" s="3">
        <v>20</v>
      </c>
      <c r="H254" s="3">
        <v>0</v>
      </c>
      <c r="I254" s="3"/>
      <c r="J254" s="4"/>
      <c r="K254" s="4"/>
      <c r="N254" s="12">
        <v>0.7</v>
      </c>
    </row>
    <row r="255" spans="2:14" x14ac:dyDescent="0.25">
      <c r="B255" s="3" t="s">
        <v>9</v>
      </c>
      <c r="C255" s="3">
        <v>2021</v>
      </c>
      <c r="D255" s="3">
        <v>25</v>
      </c>
      <c r="E255" s="3">
        <f>($N$253)*D255+($N$254)*E254</f>
        <v>21.5</v>
      </c>
      <c r="F255" s="3">
        <f>($N$253)*E255+($N$254)*F254</f>
        <v>20.45</v>
      </c>
      <c r="G255" s="3">
        <f>2*(E255)-(F255)</f>
        <v>22.55</v>
      </c>
      <c r="H255" s="3">
        <f>$N$253/$N$254*(E255-F255)</f>
        <v>0.45000000000000034</v>
      </c>
      <c r="I255" s="3">
        <f>G254+H254</f>
        <v>20</v>
      </c>
      <c r="J255" s="5">
        <f>(D255-I255)/D255</f>
        <v>0.2</v>
      </c>
      <c r="K255" s="5">
        <f t="shared" ref="K255:K289" si="79">ABS(J255)</f>
        <v>0.2</v>
      </c>
    </row>
    <row r="256" spans="2:14" x14ac:dyDescent="0.25">
      <c r="B256" s="3" t="s">
        <v>10</v>
      </c>
      <c r="C256" s="3">
        <v>2021</v>
      </c>
      <c r="D256" s="3">
        <v>27</v>
      </c>
      <c r="E256" s="3">
        <f t="shared" ref="E256:E289" si="80">($N$253)*D256+($N$254)*E255</f>
        <v>23.15</v>
      </c>
      <c r="F256" s="3">
        <f t="shared" ref="F256:F289" si="81">($N$253)*E256+($N$254)*F255</f>
        <v>21.259999999999998</v>
      </c>
      <c r="G256" s="3">
        <f t="shared" ref="G256:G264" si="82">2*(E256)-(F256)</f>
        <v>25.04</v>
      </c>
      <c r="H256" s="3">
        <f t="shared" ref="H256:H289" si="83">$N$253/$N$254*(E256-F256)</f>
        <v>0.81000000000000028</v>
      </c>
      <c r="I256" s="3">
        <f>G255+H255</f>
        <v>23</v>
      </c>
      <c r="J256" s="5">
        <f>(D256-I256)/D256</f>
        <v>0.14814814814814814</v>
      </c>
      <c r="K256" s="5">
        <f t="shared" si="79"/>
        <v>0.14814814814814814</v>
      </c>
    </row>
    <row r="257" spans="2:11" x14ac:dyDescent="0.25">
      <c r="B257" s="3" t="s">
        <v>11</v>
      </c>
      <c r="C257" s="3">
        <v>2021</v>
      </c>
      <c r="D257" s="3">
        <v>30</v>
      </c>
      <c r="E257" s="3">
        <f t="shared" si="80"/>
        <v>25.204999999999998</v>
      </c>
      <c r="F257" s="3">
        <f t="shared" si="81"/>
        <v>22.443499999999997</v>
      </c>
      <c r="G257" s="3">
        <f t="shared" si="82"/>
        <v>27.9665</v>
      </c>
      <c r="H257" s="3">
        <f t="shared" si="83"/>
        <v>1.1835000000000009</v>
      </c>
      <c r="I257" s="3">
        <f t="shared" ref="I257:I290" si="84">G256+H256</f>
        <v>25.849999999999998</v>
      </c>
      <c r="J257" s="5">
        <f t="shared" ref="J257:J289" si="85">(D257-I257)/D257</f>
        <v>0.13833333333333339</v>
      </c>
      <c r="K257" s="5">
        <f t="shared" si="79"/>
        <v>0.13833333333333339</v>
      </c>
    </row>
    <row r="258" spans="2:11" x14ac:dyDescent="0.25">
      <c r="B258" s="3" t="s">
        <v>12</v>
      </c>
      <c r="C258" s="3">
        <v>2021</v>
      </c>
      <c r="D258" s="3">
        <v>32</v>
      </c>
      <c r="E258" s="3">
        <f t="shared" si="80"/>
        <v>27.243499999999997</v>
      </c>
      <c r="F258" s="3">
        <f t="shared" si="81"/>
        <v>23.883499999999994</v>
      </c>
      <c r="G258" s="3">
        <f t="shared" si="82"/>
        <v>30.6035</v>
      </c>
      <c r="H258" s="3">
        <f t="shared" si="83"/>
        <v>1.4400000000000013</v>
      </c>
      <c r="I258" s="3">
        <f t="shared" si="84"/>
        <v>29.150000000000002</v>
      </c>
      <c r="J258" s="5">
        <f t="shared" si="85"/>
        <v>8.9062499999999933E-2</v>
      </c>
      <c r="K258" s="5">
        <f t="shared" si="79"/>
        <v>8.9062499999999933E-2</v>
      </c>
    </row>
    <row r="259" spans="2:11" x14ac:dyDescent="0.25">
      <c r="B259" s="3" t="s">
        <v>13</v>
      </c>
      <c r="C259" s="3">
        <v>2021</v>
      </c>
      <c r="D259" s="3">
        <v>33</v>
      </c>
      <c r="E259" s="3">
        <f t="shared" si="80"/>
        <v>28.97045</v>
      </c>
      <c r="F259" s="3">
        <f t="shared" si="81"/>
        <v>25.409584999999993</v>
      </c>
      <c r="G259" s="3">
        <f t="shared" si="82"/>
        <v>32.531315000000006</v>
      </c>
      <c r="H259" s="3">
        <f t="shared" si="83"/>
        <v>1.526085000000003</v>
      </c>
      <c r="I259" s="3">
        <f t="shared" si="84"/>
        <v>32.043500000000002</v>
      </c>
      <c r="J259" s="5">
        <f t="shared" si="85"/>
        <v>2.8984848484848436E-2</v>
      </c>
      <c r="K259" s="5">
        <f t="shared" si="79"/>
        <v>2.8984848484848436E-2</v>
      </c>
    </row>
    <row r="260" spans="2:11" x14ac:dyDescent="0.25">
      <c r="B260" s="3" t="s">
        <v>2</v>
      </c>
      <c r="C260" s="3">
        <v>2021</v>
      </c>
      <c r="D260" s="3">
        <v>33</v>
      </c>
      <c r="E260" s="3">
        <f t="shared" si="80"/>
        <v>30.179314999999995</v>
      </c>
      <c r="F260" s="3">
        <f t="shared" si="81"/>
        <v>26.840503999999992</v>
      </c>
      <c r="G260" s="3">
        <f t="shared" si="82"/>
        <v>33.518125999999995</v>
      </c>
      <c r="H260" s="3">
        <f t="shared" si="83"/>
        <v>1.4309190000000016</v>
      </c>
      <c r="I260" s="3">
        <f t="shared" si="84"/>
        <v>34.057400000000008</v>
      </c>
      <c r="J260" s="5">
        <f t="shared" si="85"/>
        <v>-3.2042424242424497E-2</v>
      </c>
      <c r="K260" s="5">
        <f t="shared" si="79"/>
        <v>3.2042424242424497E-2</v>
      </c>
    </row>
    <row r="261" spans="2:11" x14ac:dyDescent="0.25">
      <c r="B261" s="3" t="s">
        <v>4</v>
      </c>
      <c r="C261" s="3">
        <v>2022</v>
      </c>
      <c r="D261" s="3">
        <v>30</v>
      </c>
      <c r="E261" s="3">
        <f t="shared" si="80"/>
        <v>30.125520499999997</v>
      </c>
      <c r="F261" s="3">
        <f t="shared" si="81"/>
        <v>27.826008949999995</v>
      </c>
      <c r="G261" s="3">
        <f t="shared" si="82"/>
        <v>32.425032049999999</v>
      </c>
      <c r="H261" s="3">
        <f t="shared" si="83"/>
        <v>0.98550495000000082</v>
      </c>
      <c r="I261" s="3">
        <f t="shared" si="84"/>
        <v>34.949044999999998</v>
      </c>
      <c r="J261" s="5">
        <f t="shared" si="85"/>
        <v>-0.16496816666666661</v>
      </c>
      <c r="K261" s="5">
        <f t="shared" si="79"/>
        <v>0.16496816666666661</v>
      </c>
    </row>
    <row r="262" spans="2:11" x14ac:dyDescent="0.25">
      <c r="B262" s="3" t="s">
        <v>3</v>
      </c>
      <c r="C262" s="3">
        <v>2022</v>
      </c>
      <c r="D262" s="3">
        <v>28</v>
      </c>
      <c r="E262" s="3">
        <f t="shared" si="80"/>
        <v>29.487864349999995</v>
      </c>
      <c r="F262" s="3">
        <f t="shared" si="81"/>
        <v>28.32456556999999</v>
      </c>
      <c r="G262" s="3">
        <f t="shared" si="82"/>
        <v>30.65116313</v>
      </c>
      <c r="H262" s="3">
        <f t="shared" si="83"/>
        <v>0.49855662000000228</v>
      </c>
      <c r="I262" s="3">
        <f>G261+H261</f>
        <v>33.410536999999998</v>
      </c>
      <c r="J262" s="5">
        <f t="shared" si="85"/>
        <v>-0.19323346428571422</v>
      </c>
      <c r="K262" s="5">
        <f t="shared" si="79"/>
        <v>0.19323346428571422</v>
      </c>
    </row>
    <row r="263" spans="2:11" x14ac:dyDescent="0.25">
      <c r="B263" s="3" t="s">
        <v>5</v>
      </c>
      <c r="C263" s="3">
        <v>2022</v>
      </c>
      <c r="D263" s="3">
        <v>26</v>
      </c>
      <c r="E263" s="3">
        <f t="shared" si="80"/>
        <v>28.441505044999996</v>
      </c>
      <c r="F263" s="3">
        <f t="shared" si="81"/>
        <v>28.359647412499989</v>
      </c>
      <c r="G263" s="3">
        <f t="shared" si="82"/>
        <v>28.523362677500003</v>
      </c>
      <c r="H263" s="3">
        <f t="shared" si="83"/>
        <v>3.5081842500003145E-2</v>
      </c>
      <c r="I263" s="3">
        <f t="shared" si="84"/>
        <v>31.149719750000003</v>
      </c>
      <c r="J263" s="5">
        <f t="shared" si="85"/>
        <v>-0.19806614423076935</v>
      </c>
      <c r="K263" s="5">
        <f t="shared" si="79"/>
        <v>0.19806614423076935</v>
      </c>
    </row>
    <row r="264" spans="2:11" x14ac:dyDescent="0.25">
      <c r="B264" s="3" t="s">
        <v>6</v>
      </c>
      <c r="C264" s="3">
        <v>2022</v>
      </c>
      <c r="D264" s="3">
        <v>26</v>
      </c>
      <c r="E264" s="3">
        <f t="shared" si="80"/>
        <v>27.709053531499997</v>
      </c>
      <c r="F264" s="3">
        <f t="shared" si="81"/>
        <v>28.164469248199993</v>
      </c>
      <c r="G264" s="3">
        <f t="shared" si="82"/>
        <v>27.253637814800001</v>
      </c>
      <c r="H264" s="3">
        <f t="shared" si="83"/>
        <v>-0.19517816429999818</v>
      </c>
      <c r="I264" s="3">
        <f t="shared" si="84"/>
        <v>28.558444520000005</v>
      </c>
      <c r="J264" s="5">
        <f t="shared" si="85"/>
        <v>-9.8401712307692513E-2</v>
      </c>
      <c r="K264" s="5">
        <f t="shared" si="79"/>
        <v>9.8401712307692513E-2</v>
      </c>
    </row>
    <row r="265" spans="2:11" x14ac:dyDescent="0.25">
      <c r="B265" s="3" t="s">
        <v>7</v>
      </c>
      <c r="C265" s="3">
        <v>2022</v>
      </c>
      <c r="D265" s="3">
        <v>22</v>
      </c>
      <c r="E265" s="3">
        <f t="shared" si="80"/>
        <v>25.996337472049994</v>
      </c>
      <c r="F265" s="3">
        <f t="shared" si="81"/>
        <v>27.514029715354994</v>
      </c>
      <c r="G265" s="3">
        <f>2*(E265)-(F265)</f>
        <v>24.478645228744995</v>
      </c>
      <c r="H265" s="3">
        <f t="shared" si="83"/>
        <v>-0.65043953284499989</v>
      </c>
      <c r="I265" s="3">
        <f t="shared" si="84"/>
        <v>27.058459650500001</v>
      </c>
      <c r="J265" s="5">
        <f t="shared" si="85"/>
        <v>-0.22992998411363644</v>
      </c>
      <c r="K265" s="5">
        <f t="shared" si="79"/>
        <v>0.22992998411363644</v>
      </c>
    </row>
    <row r="266" spans="2:11" x14ac:dyDescent="0.25">
      <c r="B266" s="3" t="s">
        <v>8</v>
      </c>
      <c r="C266" s="3">
        <v>2022</v>
      </c>
      <c r="D266" s="4">
        <v>20</v>
      </c>
      <c r="E266" s="3">
        <f t="shared" si="80"/>
        <v>24.197436230434995</v>
      </c>
      <c r="F266" s="3">
        <f t="shared" si="81"/>
        <v>26.519051669878991</v>
      </c>
      <c r="G266" s="3">
        <f t="shared" ref="G266:G289" si="86">2*(E266)-(F266)</f>
        <v>21.875820790991</v>
      </c>
      <c r="H266" s="3">
        <f t="shared" si="83"/>
        <v>-0.99497804547599811</v>
      </c>
      <c r="I266" s="3">
        <f t="shared" si="84"/>
        <v>23.828205695899996</v>
      </c>
      <c r="J266" s="5">
        <f t="shared" si="85"/>
        <v>-0.1914102847949998</v>
      </c>
      <c r="K266" s="5">
        <f t="shared" si="79"/>
        <v>0.1914102847949998</v>
      </c>
    </row>
    <row r="267" spans="2:11" x14ac:dyDescent="0.25">
      <c r="B267" s="3" t="s">
        <v>9</v>
      </c>
      <c r="C267" s="3">
        <v>2022</v>
      </c>
      <c r="D267" s="4">
        <v>25</v>
      </c>
      <c r="E267" s="3">
        <f t="shared" si="80"/>
        <v>24.438205361304494</v>
      </c>
      <c r="F267" s="3">
        <f t="shared" si="81"/>
        <v>25.894797777306639</v>
      </c>
      <c r="G267" s="3">
        <f t="shared" si="86"/>
        <v>22.981612945302349</v>
      </c>
      <c r="H267" s="3">
        <f t="shared" si="83"/>
        <v>-0.62425389257234798</v>
      </c>
      <c r="I267" s="3">
        <f t="shared" si="84"/>
        <v>20.880842745515</v>
      </c>
      <c r="J267" s="5">
        <f t="shared" si="85"/>
        <v>0.16476629017939998</v>
      </c>
      <c r="K267" s="5">
        <f t="shared" si="79"/>
        <v>0.16476629017939998</v>
      </c>
    </row>
    <row r="268" spans="2:11" x14ac:dyDescent="0.25">
      <c r="B268" s="3" t="s">
        <v>10</v>
      </c>
      <c r="C268" s="3">
        <v>2022</v>
      </c>
      <c r="D268" s="4">
        <v>29</v>
      </c>
      <c r="E268" s="3">
        <f t="shared" si="80"/>
        <v>25.806743752913142</v>
      </c>
      <c r="F268" s="3">
        <f t="shared" si="81"/>
        <v>25.868381569988589</v>
      </c>
      <c r="G268" s="3">
        <f t="shared" si="86"/>
        <v>25.745105935837696</v>
      </c>
      <c r="H268" s="3">
        <f t="shared" si="83"/>
        <v>-2.6416207318048536E-2</v>
      </c>
      <c r="I268" s="3">
        <f t="shared" si="84"/>
        <v>22.357359052730001</v>
      </c>
      <c r="J268" s="5">
        <f t="shared" si="85"/>
        <v>0.22905658438862067</v>
      </c>
      <c r="K268" s="5">
        <f t="shared" si="79"/>
        <v>0.22905658438862067</v>
      </c>
    </row>
    <row r="269" spans="2:11" x14ac:dyDescent="0.25">
      <c r="B269" s="3" t="s">
        <v>11</v>
      </c>
      <c r="C269" s="3">
        <v>2022</v>
      </c>
      <c r="D269" s="4">
        <v>30</v>
      </c>
      <c r="E269" s="3">
        <f t="shared" si="80"/>
        <v>27.064720627039197</v>
      </c>
      <c r="F269" s="3">
        <f t="shared" si="81"/>
        <v>26.227283287103766</v>
      </c>
      <c r="G269" s="3">
        <f t="shared" si="86"/>
        <v>27.902157966974627</v>
      </c>
      <c r="H269" s="3">
        <f t="shared" si="83"/>
        <v>0.35890171711518448</v>
      </c>
      <c r="I269" s="3">
        <f t="shared" si="84"/>
        <v>25.718689728519646</v>
      </c>
      <c r="J269" s="5">
        <f t="shared" si="85"/>
        <v>0.14271034238267846</v>
      </c>
      <c r="K269" s="5">
        <f t="shared" si="79"/>
        <v>0.14271034238267846</v>
      </c>
    </row>
    <row r="270" spans="2:11" x14ac:dyDescent="0.25">
      <c r="B270" s="3" t="s">
        <v>12</v>
      </c>
      <c r="C270" s="3">
        <v>2022</v>
      </c>
      <c r="D270" s="4">
        <v>33</v>
      </c>
      <c r="E270" s="3">
        <f t="shared" si="80"/>
        <v>28.845304438927435</v>
      </c>
      <c r="F270" s="3">
        <f t="shared" si="81"/>
        <v>27.012689632650869</v>
      </c>
      <c r="G270" s="3">
        <f t="shared" si="86"/>
        <v>30.677919245204002</v>
      </c>
      <c r="H270" s="3">
        <f t="shared" si="83"/>
        <v>0.78540634554710009</v>
      </c>
      <c r="I270" s="3">
        <f t="shared" si="84"/>
        <v>28.261059684089812</v>
      </c>
      <c r="J270" s="5">
        <f t="shared" si="85"/>
        <v>0.14360425199727844</v>
      </c>
      <c r="K270" s="5">
        <f t="shared" si="79"/>
        <v>0.14360425199727844</v>
      </c>
    </row>
    <row r="271" spans="2:11" x14ac:dyDescent="0.25">
      <c r="B271" s="3" t="s">
        <v>13</v>
      </c>
      <c r="C271" s="3">
        <v>2022</v>
      </c>
      <c r="D271" s="4">
        <v>37</v>
      </c>
      <c r="E271" s="3">
        <f t="shared" si="80"/>
        <v>31.291713107249201</v>
      </c>
      <c r="F271" s="3">
        <f t="shared" si="81"/>
        <v>28.296396675030365</v>
      </c>
      <c r="G271" s="3">
        <f t="shared" si="86"/>
        <v>34.287029539468037</v>
      </c>
      <c r="H271" s="3">
        <f t="shared" si="83"/>
        <v>1.2837070423795012</v>
      </c>
      <c r="I271" s="3">
        <f t="shared" si="84"/>
        <v>31.463325590751101</v>
      </c>
      <c r="J271" s="5">
        <f t="shared" si="85"/>
        <v>0.14963984889861889</v>
      </c>
      <c r="K271" s="5">
        <f t="shared" si="79"/>
        <v>0.14963984889861889</v>
      </c>
    </row>
    <row r="272" spans="2:11" x14ac:dyDescent="0.25">
      <c r="B272" s="3" t="s">
        <v>2</v>
      </c>
      <c r="C272" s="3">
        <v>2022</v>
      </c>
      <c r="D272" s="4">
        <v>39</v>
      </c>
      <c r="E272" s="3">
        <f t="shared" si="80"/>
        <v>33.604199175074442</v>
      </c>
      <c r="F272" s="3">
        <f t="shared" si="81"/>
        <v>29.888737425043587</v>
      </c>
      <c r="G272" s="3">
        <f t="shared" si="86"/>
        <v>37.319660925105296</v>
      </c>
      <c r="H272" s="3">
        <f t="shared" si="83"/>
        <v>1.5923407500132236</v>
      </c>
      <c r="I272" s="3">
        <f t="shared" si="84"/>
        <v>35.570736581847541</v>
      </c>
      <c r="J272" s="5">
        <f t="shared" si="85"/>
        <v>8.7929831234678443E-2</v>
      </c>
      <c r="K272" s="5">
        <f t="shared" si="79"/>
        <v>8.7929831234678443E-2</v>
      </c>
    </row>
    <row r="273" spans="2:11" x14ac:dyDescent="0.25">
      <c r="B273" s="3" t="s">
        <v>4</v>
      </c>
      <c r="C273" s="4">
        <v>2023</v>
      </c>
      <c r="D273" s="4">
        <v>35</v>
      </c>
      <c r="E273" s="3">
        <f t="shared" si="80"/>
        <v>34.022939422552106</v>
      </c>
      <c r="F273" s="3">
        <f t="shared" si="81"/>
        <v>31.128998024296141</v>
      </c>
      <c r="G273" s="3">
        <f t="shared" si="86"/>
        <v>36.916880820808075</v>
      </c>
      <c r="H273" s="3">
        <f t="shared" si="83"/>
        <v>1.2402605992525566</v>
      </c>
      <c r="I273" s="3">
        <f t="shared" si="84"/>
        <v>38.912001675118518</v>
      </c>
      <c r="J273" s="5">
        <f t="shared" si="85"/>
        <v>-0.11177147643195764</v>
      </c>
      <c r="K273" s="5">
        <f t="shared" si="79"/>
        <v>0.11177147643195764</v>
      </c>
    </row>
    <row r="274" spans="2:11" x14ac:dyDescent="0.25">
      <c r="B274" s="3" t="s">
        <v>3</v>
      </c>
      <c r="C274" s="4">
        <v>2023</v>
      </c>
      <c r="D274" s="4">
        <v>31</v>
      </c>
      <c r="E274" s="3">
        <f t="shared" si="80"/>
        <v>33.116057595786472</v>
      </c>
      <c r="F274" s="3">
        <f t="shared" si="81"/>
        <v>31.72511589574324</v>
      </c>
      <c r="G274" s="3">
        <f t="shared" si="86"/>
        <v>34.506999295829701</v>
      </c>
      <c r="H274" s="3">
        <f t="shared" si="83"/>
        <v>0.59611787144709949</v>
      </c>
      <c r="I274" s="3">
        <f t="shared" si="84"/>
        <v>38.157141420060633</v>
      </c>
      <c r="J274" s="5">
        <f t="shared" si="85"/>
        <v>-0.23087552967937525</v>
      </c>
      <c r="K274" s="5">
        <f t="shared" si="79"/>
        <v>0.23087552967937525</v>
      </c>
    </row>
    <row r="275" spans="2:11" x14ac:dyDescent="0.25">
      <c r="B275" s="3" t="s">
        <v>5</v>
      </c>
      <c r="C275" s="4">
        <v>2023</v>
      </c>
      <c r="D275" s="4">
        <v>29</v>
      </c>
      <c r="E275" s="3">
        <f t="shared" si="80"/>
        <v>31.88124031705053</v>
      </c>
      <c r="F275" s="3">
        <f t="shared" si="81"/>
        <v>31.771953222135423</v>
      </c>
      <c r="G275" s="3">
        <f t="shared" si="86"/>
        <v>31.990527411965637</v>
      </c>
      <c r="H275" s="3">
        <f t="shared" si="83"/>
        <v>4.6837326392188725E-2</v>
      </c>
      <c r="I275" s="3">
        <f t="shared" si="84"/>
        <v>35.1031171672768</v>
      </c>
      <c r="J275" s="5">
        <f t="shared" si="85"/>
        <v>-0.21045231611299309</v>
      </c>
      <c r="K275" s="5">
        <f t="shared" si="79"/>
        <v>0.21045231611299309</v>
      </c>
    </row>
    <row r="276" spans="2:11" x14ac:dyDescent="0.25">
      <c r="B276" s="3" t="s">
        <v>6</v>
      </c>
      <c r="C276" s="4">
        <v>2023</v>
      </c>
      <c r="D276" s="4">
        <v>29</v>
      </c>
      <c r="E276" s="3">
        <f t="shared" si="80"/>
        <v>31.016868221935368</v>
      </c>
      <c r="F276" s="3">
        <f t="shared" si="81"/>
        <v>31.545427722075406</v>
      </c>
      <c r="G276" s="3">
        <f t="shared" si="86"/>
        <v>30.488308721795331</v>
      </c>
      <c r="H276" s="3">
        <f t="shared" si="83"/>
        <v>-0.22652550006001604</v>
      </c>
      <c r="I276" s="3">
        <f t="shared" si="84"/>
        <v>32.037364738357823</v>
      </c>
      <c r="J276" s="5">
        <f t="shared" si="85"/>
        <v>-0.104736715115787</v>
      </c>
      <c r="K276" s="5">
        <f t="shared" si="79"/>
        <v>0.104736715115787</v>
      </c>
    </row>
    <row r="277" spans="2:11" x14ac:dyDescent="0.25">
      <c r="B277" s="3" t="s">
        <v>7</v>
      </c>
      <c r="C277" s="4">
        <v>2023</v>
      </c>
      <c r="D277" s="4">
        <v>27</v>
      </c>
      <c r="E277" s="3">
        <f t="shared" si="80"/>
        <v>29.811807755354756</v>
      </c>
      <c r="F277" s="3">
        <f t="shared" si="81"/>
        <v>31.025341732059211</v>
      </c>
      <c r="G277" s="3">
        <f t="shared" si="86"/>
        <v>28.598273778650302</v>
      </c>
      <c r="H277" s="3">
        <f t="shared" si="83"/>
        <v>-0.52008599001619471</v>
      </c>
      <c r="I277" s="3">
        <f t="shared" si="84"/>
        <v>30.261783221735314</v>
      </c>
      <c r="J277" s="5">
        <f t="shared" si="85"/>
        <v>-0.12080678599019681</v>
      </c>
      <c r="K277" s="5">
        <f t="shared" si="79"/>
        <v>0.12080678599019681</v>
      </c>
    </row>
    <row r="278" spans="2:11" x14ac:dyDescent="0.25">
      <c r="B278" s="3" t="s">
        <v>8</v>
      </c>
      <c r="C278" s="4">
        <v>2023</v>
      </c>
      <c r="D278" s="4">
        <v>25</v>
      </c>
      <c r="E278" s="3">
        <f t="shared" si="80"/>
        <v>28.368265428748327</v>
      </c>
      <c r="F278" s="3">
        <f t="shared" si="81"/>
        <v>30.228218841065946</v>
      </c>
      <c r="G278" s="3">
        <f t="shared" si="86"/>
        <v>26.508312016430708</v>
      </c>
      <c r="H278" s="3">
        <f t="shared" si="83"/>
        <v>-0.79712289099326539</v>
      </c>
      <c r="I278" s="3">
        <f t="shared" si="84"/>
        <v>28.078187788634107</v>
      </c>
      <c r="J278" s="5">
        <f t="shared" si="85"/>
        <v>-0.12312751154536429</v>
      </c>
      <c r="K278" s="5">
        <f t="shared" si="79"/>
        <v>0.12312751154536429</v>
      </c>
    </row>
    <row r="279" spans="2:11" x14ac:dyDescent="0.25">
      <c r="B279" s="3" t="s">
        <v>9</v>
      </c>
      <c r="C279" s="4">
        <v>2023</v>
      </c>
      <c r="D279" s="4">
        <v>28</v>
      </c>
      <c r="E279" s="3">
        <f t="shared" si="80"/>
        <v>28.257785800123827</v>
      </c>
      <c r="F279" s="3">
        <f t="shared" si="81"/>
        <v>29.63708892878331</v>
      </c>
      <c r="G279" s="3">
        <f t="shared" si="86"/>
        <v>26.878482671464344</v>
      </c>
      <c r="H279" s="3">
        <f t="shared" si="83"/>
        <v>-0.59112991228263567</v>
      </c>
      <c r="I279" s="3">
        <f t="shared" si="84"/>
        <v>25.711189125437443</v>
      </c>
      <c r="J279" s="5">
        <f t="shared" si="85"/>
        <v>8.1743245520091337E-2</v>
      </c>
      <c r="K279" s="5">
        <f t="shared" si="79"/>
        <v>8.1743245520091337E-2</v>
      </c>
    </row>
    <row r="280" spans="2:11" x14ac:dyDescent="0.25">
      <c r="B280" s="3" t="s">
        <v>10</v>
      </c>
      <c r="C280" s="4">
        <v>2023</v>
      </c>
      <c r="D280" s="4">
        <v>30</v>
      </c>
      <c r="E280" s="3">
        <f t="shared" si="80"/>
        <v>28.780450060086679</v>
      </c>
      <c r="F280" s="3">
        <f t="shared" si="81"/>
        <v>29.380097268174318</v>
      </c>
      <c r="G280" s="3">
        <f t="shared" si="86"/>
        <v>28.18080285199904</v>
      </c>
      <c r="H280" s="3">
        <f t="shared" si="83"/>
        <v>-0.25699166060898804</v>
      </c>
      <c r="I280" s="3">
        <f t="shared" si="84"/>
        <v>26.287352759181708</v>
      </c>
      <c r="J280" s="5">
        <f t="shared" si="85"/>
        <v>0.1237549080272764</v>
      </c>
      <c r="K280" s="5">
        <f t="shared" si="79"/>
        <v>0.1237549080272764</v>
      </c>
    </row>
    <row r="281" spans="2:11" x14ac:dyDescent="0.25">
      <c r="B281" s="3" t="s">
        <v>11</v>
      </c>
      <c r="C281" s="4">
        <v>2023</v>
      </c>
      <c r="D281" s="4">
        <v>35</v>
      </c>
      <c r="E281" s="3">
        <f t="shared" si="80"/>
        <v>30.646315042060674</v>
      </c>
      <c r="F281" s="3">
        <f t="shared" si="81"/>
        <v>29.759962600340224</v>
      </c>
      <c r="G281" s="3">
        <f t="shared" si="86"/>
        <v>31.532667483781125</v>
      </c>
      <c r="H281" s="3">
        <f t="shared" si="83"/>
        <v>0.37986533216590757</v>
      </c>
      <c r="I281" s="3">
        <f t="shared" si="84"/>
        <v>27.923811191390051</v>
      </c>
      <c r="J281" s="5">
        <f t="shared" si="85"/>
        <v>0.20217682310314139</v>
      </c>
      <c r="K281" s="5">
        <f t="shared" si="79"/>
        <v>0.20217682310314139</v>
      </c>
    </row>
    <row r="282" spans="2:11" x14ac:dyDescent="0.25">
      <c r="B282" s="3" t="s">
        <v>12</v>
      </c>
      <c r="C282" s="4">
        <v>2023</v>
      </c>
      <c r="D282" s="4">
        <v>39</v>
      </c>
      <c r="E282" s="3">
        <f t="shared" si="80"/>
        <v>33.152420529442466</v>
      </c>
      <c r="F282" s="3">
        <f t="shared" si="81"/>
        <v>30.777699979070896</v>
      </c>
      <c r="G282" s="3">
        <f t="shared" si="86"/>
        <v>35.527141079814037</v>
      </c>
      <c r="H282" s="3">
        <f t="shared" si="83"/>
        <v>1.0177373787306732</v>
      </c>
      <c r="I282" s="3">
        <f t="shared" si="84"/>
        <v>31.912532815947031</v>
      </c>
      <c r="J282" s="5">
        <f t="shared" si="85"/>
        <v>0.18172992779622996</v>
      </c>
      <c r="K282" s="5">
        <f t="shared" si="79"/>
        <v>0.18172992779622996</v>
      </c>
    </row>
    <row r="283" spans="2:11" x14ac:dyDescent="0.25">
      <c r="B283" s="3" t="s">
        <v>13</v>
      </c>
      <c r="C283" s="4">
        <v>2024</v>
      </c>
      <c r="D283" s="4">
        <v>48</v>
      </c>
      <c r="E283" s="3">
        <f t="shared" si="80"/>
        <v>37.606694370609723</v>
      </c>
      <c r="F283" s="3">
        <f t="shared" si="81"/>
        <v>32.826398296532545</v>
      </c>
      <c r="G283" s="3">
        <f t="shared" si="86"/>
        <v>42.386990444686901</v>
      </c>
      <c r="H283" s="3">
        <f t="shared" si="83"/>
        <v>2.048698317461648</v>
      </c>
      <c r="I283" s="3">
        <f t="shared" si="84"/>
        <v>36.544878458544709</v>
      </c>
      <c r="J283" s="5">
        <f t="shared" si="85"/>
        <v>0.23864836544698523</v>
      </c>
      <c r="K283" s="5">
        <f t="shared" si="79"/>
        <v>0.23864836544698523</v>
      </c>
    </row>
    <row r="284" spans="2:11" x14ac:dyDescent="0.25">
      <c r="B284" s="3" t="s">
        <v>2</v>
      </c>
      <c r="C284" s="4">
        <v>2024</v>
      </c>
      <c r="D284" s="4">
        <v>52</v>
      </c>
      <c r="E284" s="3">
        <f t="shared" si="80"/>
        <v>41.924686059426804</v>
      </c>
      <c r="F284" s="3">
        <f t="shared" si="81"/>
        <v>35.555884625400822</v>
      </c>
      <c r="G284" s="3">
        <f t="shared" si="86"/>
        <v>48.293487493452787</v>
      </c>
      <c r="H284" s="3">
        <f t="shared" si="83"/>
        <v>2.7294863288682785</v>
      </c>
      <c r="I284" s="3">
        <f t="shared" si="84"/>
        <v>44.435688762148551</v>
      </c>
      <c r="J284" s="5">
        <f t="shared" si="85"/>
        <v>0.14546752380483555</v>
      </c>
      <c r="K284" s="5">
        <f t="shared" si="79"/>
        <v>0.14546752380483555</v>
      </c>
    </row>
    <row r="285" spans="2:11" x14ac:dyDescent="0.25">
      <c r="B285" s="3" t="s">
        <v>4</v>
      </c>
      <c r="C285" s="4">
        <v>2024</v>
      </c>
      <c r="D285" s="4">
        <v>47</v>
      </c>
      <c r="E285" s="3">
        <f t="shared" si="80"/>
        <v>43.447280241598762</v>
      </c>
      <c r="F285" s="3">
        <f t="shared" si="81"/>
        <v>37.923303310260202</v>
      </c>
      <c r="G285" s="3">
        <f t="shared" si="86"/>
        <v>48.971257172937321</v>
      </c>
      <c r="H285" s="3">
        <f t="shared" si="83"/>
        <v>2.3674186848593828</v>
      </c>
      <c r="I285" s="3">
        <f t="shared" si="84"/>
        <v>51.022973822321063</v>
      </c>
      <c r="J285" s="5">
        <f t="shared" si="85"/>
        <v>-8.5595187708958784E-2</v>
      </c>
      <c r="K285" s="5">
        <f t="shared" si="79"/>
        <v>8.5595187708958784E-2</v>
      </c>
    </row>
    <row r="286" spans="2:11" x14ac:dyDescent="0.25">
      <c r="B286" s="3" t="s">
        <v>3</v>
      </c>
      <c r="C286" s="4">
        <v>2024</v>
      </c>
      <c r="D286" s="4">
        <v>40</v>
      </c>
      <c r="E286" s="3">
        <f t="shared" si="80"/>
        <v>42.413096169119129</v>
      </c>
      <c r="F286" s="3">
        <f t="shared" si="81"/>
        <v>39.270241167917874</v>
      </c>
      <c r="G286" s="3">
        <f t="shared" si="86"/>
        <v>45.555951170320384</v>
      </c>
      <c r="H286" s="3">
        <f t="shared" si="83"/>
        <v>1.3469378576576809</v>
      </c>
      <c r="I286" s="3">
        <f t="shared" si="84"/>
        <v>51.338675857796702</v>
      </c>
      <c r="J286" s="5">
        <f t="shared" si="85"/>
        <v>-0.28346689644491752</v>
      </c>
      <c r="K286" s="5">
        <f t="shared" si="79"/>
        <v>0.28346689644491752</v>
      </c>
    </row>
    <row r="287" spans="2:11" x14ac:dyDescent="0.25">
      <c r="B287" s="3" t="s">
        <v>5</v>
      </c>
      <c r="C287" s="4">
        <v>2024</v>
      </c>
      <c r="D287" s="4">
        <v>36</v>
      </c>
      <c r="E287" s="3">
        <f t="shared" si="80"/>
        <v>40.489167318383387</v>
      </c>
      <c r="F287" s="3">
        <f t="shared" si="81"/>
        <v>39.635919013057524</v>
      </c>
      <c r="G287" s="3">
        <f t="shared" si="86"/>
        <v>41.34241562370925</v>
      </c>
      <c r="H287" s="3">
        <f t="shared" si="83"/>
        <v>0.36567784513965562</v>
      </c>
      <c r="I287" s="3">
        <f t="shared" si="84"/>
        <v>46.902889027978063</v>
      </c>
      <c r="J287" s="5">
        <f t="shared" si="85"/>
        <v>-0.3028580285549462</v>
      </c>
      <c r="K287" s="5">
        <f t="shared" si="79"/>
        <v>0.3028580285549462</v>
      </c>
    </row>
    <row r="288" spans="2:11" x14ac:dyDescent="0.25">
      <c r="B288" s="3" t="s">
        <v>6</v>
      </c>
      <c r="C288" s="4">
        <v>2024</v>
      </c>
      <c r="D288" s="4">
        <v>35</v>
      </c>
      <c r="E288" s="3">
        <f t="shared" si="80"/>
        <v>38.842417122868369</v>
      </c>
      <c r="F288" s="3">
        <f t="shared" si="81"/>
        <v>39.397868446000771</v>
      </c>
      <c r="G288" s="3">
        <f t="shared" si="86"/>
        <v>38.286965799735967</v>
      </c>
      <c r="H288" s="3">
        <f t="shared" si="83"/>
        <v>-0.23805056705674385</v>
      </c>
      <c r="I288" s="3">
        <f t="shared" si="84"/>
        <v>41.708093468848908</v>
      </c>
      <c r="J288" s="5">
        <f t="shared" si="85"/>
        <v>-0.19165981339568308</v>
      </c>
      <c r="K288" s="5">
        <f t="shared" si="79"/>
        <v>0.19165981339568308</v>
      </c>
    </row>
    <row r="289" spans="2:14" x14ac:dyDescent="0.25">
      <c r="B289" s="3" t="s">
        <v>7</v>
      </c>
      <c r="C289" s="4">
        <v>2024</v>
      </c>
      <c r="D289" s="4">
        <v>31</v>
      </c>
      <c r="E289" s="3">
        <f t="shared" si="80"/>
        <v>36.489691986007855</v>
      </c>
      <c r="F289" s="3">
        <f t="shared" si="81"/>
        <v>38.525415508002894</v>
      </c>
      <c r="G289" s="3">
        <f t="shared" si="86"/>
        <v>34.453968464012817</v>
      </c>
      <c r="H289" s="3">
        <f t="shared" si="83"/>
        <v>-0.8724529379978736</v>
      </c>
      <c r="I289" s="3">
        <f t="shared" si="84"/>
        <v>38.048915232679221</v>
      </c>
      <c r="J289" s="5">
        <f t="shared" si="85"/>
        <v>-0.227384362344491</v>
      </c>
      <c r="K289" s="5">
        <f t="shared" si="79"/>
        <v>0.227384362344491</v>
      </c>
    </row>
    <row r="290" spans="2:14" x14ac:dyDescent="0.25">
      <c r="B290" s="6" t="s">
        <v>8</v>
      </c>
      <c r="C290" s="7">
        <v>2024</v>
      </c>
      <c r="D290" s="6"/>
      <c r="E290" s="8"/>
      <c r="F290" s="8"/>
      <c r="G290" s="8"/>
      <c r="H290" s="8"/>
      <c r="I290" s="9">
        <f t="shared" si="84"/>
        <v>33.581515526014947</v>
      </c>
      <c r="J290" s="6" t="s">
        <v>21</v>
      </c>
      <c r="K290" s="10">
        <f>100/36*SUM(K255:K289)</f>
        <v>15.545954379757609</v>
      </c>
    </row>
    <row r="295" spans="2:14" x14ac:dyDescent="0.25">
      <c r="B295" s="11" t="s">
        <v>0</v>
      </c>
      <c r="C295" s="11" t="s">
        <v>1</v>
      </c>
      <c r="D295" s="11" t="s">
        <v>22</v>
      </c>
      <c r="E295" s="11" t="s">
        <v>14</v>
      </c>
      <c r="F295" s="11" t="s">
        <v>15</v>
      </c>
      <c r="G295" s="11" t="s">
        <v>16</v>
      </c>
      <c r="H295" s="11" t="s">
        <v>17</v>
      </c>
      <c r="I295" s="11" t="s">
        <v>18</v>
      </c>
      <c r="J295" s="11" t="s">
        <v>19</v>
      </c>
      <c r="K295" s="11" t="s">
        <v>20</v>
      </c>
      <c r="N295" s="12">
        <v>0.2</v>
      </c>
    </row>
    <row r="296" spans="2:14" x14ac:dyDescent="0.25">
      <c r="B296" s="3" t="s">
        <v>8</v>
      </c>
      <c r="C296" s="3">
        <v>2021</v>
      </c>
      <c r="D296" s="3">
        <v>20</v>
      </c>
      <c r="E296" s="3">
        <v>20</v>
      </c>
      <c r="F296" s="3">
        <v>20</v>
      </c>
      <c r="G296" s="3">
        <v>20</v>
      </c>
      <c r="H296" s="3">
        <v>0</v>
      </c>
      <c r="I296" s="3"/>
      <c r="J296" s="4"/>
      <c r="K296" s="4"/>
      <c r="N296" s="12">
        <v>0.8</v>
      </c>
    </row>
    <row r="297" spans="2:14" x14ac:dyDescent="0.25">
      <c r="B297" s="3" t="s">
        <v>9</v>
      </c>
      <c r="C297" s="3">
        <v>2021</v>
      </c>
      <c r="D297" s="3">
        <v>25</v>
      </c>
      <c r="E297" s="3">
        <f>($N$295)*D297+($N$296)*E296</f>
        <v>21</v>
      </c>
      <c r="F297" s="3">
        <f>($N$295)*E297+($N$296)*F296</f>
        <v>20.2</v>
      </c>
      <c r="G297" s="3">
        <f>2*(E297)-(F297)</f>
        <v>21.8</v>
      </c>
      <c r="H297" s="3">
        <f>$N$295/$N$296*(E297-F297)</f>
        <v>0.20000000000000018</v>
      </c>
      <c r="I297" s="3">
        <f>G296+H296</f>
        <v>20</v>
      </c>
      <c r="J297" s="5">
        <f>(D297-I297)/D297</f>
        <v>0.2</v>
      </c>
      <c r="K297" s="5">
        <f t="shared" ref="K297:K331" si="87">ABS(J297)</f>
        <v>0.2</v>
      </c>
    </row>
    <row r="298" spans="2:14" x14ac:dyDescent="0.25">
      <c r="B298" s="3" t="s">
        <v>10</v>
      </c>
      <c r="C298" s="3">
        <v>2021</v>
      </c>
      <c r="D298" s="3">
        <v>27</v>
      </c>
      <c r="E298" s="3">
        <f t="shared" ref="E298:E331" si="88">($N$295)*D298+($N$296)*E297</f>
        <v>22.200000000000003</v>
      </c>
      <c r="F298" s="3">
        <f t="shared" ref="F298:F331" si="89">($N$295)*E298+($N$296)*F297</f>
        <v>20.6</v>
      </c>
      <c r="G298" s="3">
        <f t="shared" ref="G298:G306" si="90">2*(E298)-(F298)</f>
        <v>23.800000000000004</v>
      </c>
      <c r="H298" s="3">
        <f t="shared" ref="H298:H331" si="91">$N$295/$N$296*(E298-F298)</f>
        <v>0.40000000000000036</v>
      </c>
      <c r="I298" s="3">
        <f>G297+H297</f>
        <v>22</v>
      </c>
      <c r="J298" s="5">
        <f>(D298-I298)/D298</f>
        <v>0.18518518518518517</v>
      </c>
      <c r="K298" s="5">
        <f t="shared" si="87"/>
        <v>0.18518518518518517</v>
      </c>
    </row>
    <row r="299" spans="2:14" x14ac:dyDescent="0.25">
      <c r="B299" s="3" t="s">
        <v>11</v>
      </c>
      <c r="C299" s="3">
        <v>2021</v>
      </c>
      <c r="D299" s="3">
        <v>30</v>
      </c>
      <c r="E299" s="3">
        <f t="shared" si="88"/>
        <v>23.76</v>
      </c>
      <c r="F299" s="3">
        <f t="shared" si="89"/>
        <v>21.231999999999999</v>
      </c>
      <c r="G299" s="3">
        <f t="shared" si="90"/>
        <v>26.288000000000004</v>
      </c>
      <c r="H299" s="3">
        <f t="shared" si="91"/>
        <v>0.63200000000000056</v>
      </c>
      <c r="I299" s="3">
        <f t="shared" ref="I299:I303" si="92">G298+H298</f>
        <v>24.200000000000003</v>
      </c>
      <c r="J299" s="5">
        <f t="shared" ref="J299:J331" si="93">(D299-I299)/D299</f>
        <v>0.19333333333333325</v>
      </c>
      <c r="K299" s="5">
        <f t="shared" si="87"/>
        <v>0.19333333333333325</v>
      </c>
    </row>
    <row r="300" spans="2:14" x14ac:dyDescent="0.25">
      <c r="B300" s="3" t="s">
        <v>12</v>
      </c>
      <c r="C300" s="3">
        <v>2021</v>
      </c>
      <c r="D300" s="3">
        <v>32</v>
      </c>
      <c r="E300" s="3">
        <f t="shared" si="88"/>
        <v>25.408000000000001</v>
      </c>
      <c r="F300" s="3">
        <f t="shared" si="89"/>
        <v>22.067200000000003</v>
      </c>
      <c r="G300" s="3">
        <f t="shared" si="90"/>
        <v>28.748799999999999</v>
      </c>
      <c r="H300" s="3">
        <f t="shared" si="91"/>
        <v>0.8351999999999995</v>
      </c>
      <c r="I300" s="3">
        <f t="shared" si="92"/>
        <v>26.920000000000005</v>
      </c>
      <c r="J300" s="5">
        <f t="shared" si="93"/>
        <v>0.15874999999999984</v>
      </c>
      <c r="K300" s="5">
        <f t="shared" si="87"/>
        <v>0.15874999999999984</v>
      </c>
    </row>
    <row r="301" spans="2:14" x14ac:dyDescent="0.25">
      <c r="B301" s="3" t="s">
        <v>13</v>
      </c>
      <c r="C301" s="3">
        <v>2021</v>
      </c>
      <c r="D301" s="3">
        <v>33</v>
      </c>
      <c r="E301" s="3">
        <f t="shared" si="88"/>
        <v>26.926400000000005</v>
      </c>
      <c r="F301" s="3">
        <f t="shared" si="89"/>
        <v>23.039040000000004</v>
      </c>
      <c r="G301" s="3">
        <f t="shared" si="90"/>
        <v>30.813760000000006</v>
      </c>
      <c r="H301" s="3">
        <f t="shared" si="91"/>
        <v>0.97184000000000026</v>
      </c>
      <c r="I301" s="3">
        <f t="shared" si="92"/>
        <v>29.584</v>
      </c>
      <c r="J301" s="5">
        <f t="shared" si="93"/>
        <v>0.10351515151515153</v>
      </c>
      <c r="K301" s="5">
        <f t="shared" si="87"/>
        <v>0.10351515151515153</v>
      </c>
    </row>
    <row r="302" spans="2:14" x14ac:dyDescent="0.25">
      <c r="B302" s="3" t="s">
        <v>2</v>
      </c>
      <c r="C302" s="3">
        <v>2021</v>
      </c>
      <c r="D302" s="3">
        <v>33</v>
      </c>
      <c r="E302" s="3">
        <f t="shared" si="88"/>
        <v>28.141120000000008</v>
      </c>
      <c r="F302" s="3">
        <f t="shared" si="89"/>
        <v>24.059456000000008</v>
      </c>
      <c r="G302" s="3">
        <f t="shared" si="90"/>
        <v>32.222784000000004</v>
      </c>
      <c r="H302" s="3">
        <f t="shared" si="91"/>
        <v>1.020416</v>
      </c>
      <c r="I302" s="3">
        <f t="shared" si="92"/>
        <v>31.785600000000006</v>
      </c>
      <c r="J302" s="5">
        <f t="shared" si="93"/>
        <v>3.6799999999999826E-2</v>
      </c>
      <c r="K302" s="5">
        <f t="shared" si="87"/>
        <v>3.6799999999999826E-2</v>
      </c>
    </row>
    <row r="303" spans="2:14" x14ac:dyDescent="0.25">
      <c r="B303" s="3" t="s">
        <v>4</v>
      </c>
      <c r="C303" s="3">
        <v>2022</v>
      </c>
      <c r="D303" s="3">
        <v>30</v>
      </c>
      <c r="E303" s="3">
        <f t="shared" si="88"/>
        <v>28.512896000000008</v>
      </c>
      <c r="F303" s="3">
        <f t="shared" si="89"/>
        <v>24.950144000000009</v>
      </c>
      <c r="G303" s="3">
        <f t="shared" si="90"/>
        <v>32.075648000000008</v>
      </c>
      <c r="H303" s="3">
        <f t="shared" si="91"/>
        <v>0.89068799999999992</v>
      </c>
      <c r="I303" s="3">
        <f t="shared" si="92"/>
        <v>33.243200000000002</v>
      </c>
      <c r="J303" s="5">
        <f t="shared" si="93"/>
        <v>-0.10810666666666673</v>
      </c>
      <c r="K303" s="5">
        <f t="shared" si="87"/>
        <v>0.10810666666666673</v>
      </c>
    </row>
    <row r="304" spans="2:14" x14ac:dyDescent="0.25">
      <c r="B304" s="3" t="s">
        <v>3</v>
      </c>
      <c r="C304" s="3">
        <v>2022</v>
      </c>
      <c r="D304" s="3">
        <v>28</v>
      </c>
      <c r="E304" s="3">
        <f t="shared" si="88"/>
        <v>28.410316800000011</v>
      </c>
      <c r="F304" s="3">
        <f t="shared" si="89"/>
        <v>25.642178560000012</v>
      </c>
      <c r="G304" s="3">
        <f t="shared" si="90"/>
        <v>31.17845504000001</v>
      </c>
      <c r="H304" s="3">
        <f t="shared" si="91"/>
        <v>0.69203455999999974</v>
      </c>
      <c r="I304" s="3">
        <f>G303+H303</f>
        <v>32.966336000000005</v>
      </c>
      <c r="J304" s="5">
        <f t="shared" si="93"/>
        <v>-0.17736914285714306</v>
      </c>
      <c r="K304" s="5">
        <f t="shared" si="87"/>
        <v>0.17736914285714306</v>
      </c>
    </row>
    <row r="305" spans="2:11" x14ac:dyDescent="0.25">
      <c r="B305" s="3" t="s">
        <v>5</v>
      </c>
      <c r="C305" s="3">
        <v>2022</v>
      </c>
      <c r="D305" s="3">
        <v>26</v>
      </c>
      <c r="E305" s="3">
        <f t="shared" si="88"/>
        <v>27.92825344000001</v>
      </c>
      <c r="F305" s="3">
        <f t="shared" si="89"/>
        <v>26.099393536000012</v>
      </c>
      <c r="G305" s="3">
        <f t="shared" si="90"/>
        <v>29.757113344000008</v>
      </c>
      <c r="H305" s="3">
        <f t="shared" si="91"/>
        <v>0.4572149759999995</v>
      </c>
      <c r="I305" s="3">
        <f t="shared" ref="I305:I332" si="94">G304+H304</f>
        <v>31.87048960000001</v>
      </c>
      <c r="J305" s="5">
        <f t="shared" si="93"/>
        <v>-0.22578806153846193</v>
      </c>
      <c r="K305" s="5">
        <f t="shared" si="87"/>
        <v>0.22578806153846193</v>
      </c>
    </row>
    <row r="306" spans="2:11" x14ac:dyDescent="0.25">
      <c r="B306" s="3" t="s">
        <v>6</v>
      </c>
      <c r="C306" s="3">
        <v>2022</v>
      </c>
      <c r="D306" s="3">
        <v>26</v>
      </c>
      <c r="E306" s="3">
        <f t="shared" si="88"/>
        <v>27.542602752000008</v>
      </c>
      <c r="F306" s="3">
        <f t="shared" si="89"/>
        <v>26.388035379200012</v>
      </c>
      <c r="G306" s="3">
        <f t="shared" si="90"/>
        <v>28.697170124800003</v>
      </c>
      <c r="H306" s="3">
        <f t="shared" si="91"/>
        <v>0.28864184319999886</v>
      </c>
      <c r="I306" s="3">
        <f t="shared" si="94"/>
        <v>30.214328320000007</v>
      </c>
      <c r="J306" s="5">
        <f t="shared" si="93"/>
        <v>-0.16208955076923104</v>
      </c>
      <c r="K306" s="5">
        <f t="shared" si="87"/>
        <v>0.16208955076923104</v>
      </c>
    </row>
    <row r="307" spans="2:11" x14ac:dyDescent="0.25">
      <c r="B307" s="3" t="s">
        <v>7</v>
      </c>
      <c r="C307" s="3">
        <v>2022</v>
      </c>
      <c r="D307" s="3">
        <v>22</v>
      </c>
      <c r="E307" s="3">
        <f t="shared" si="88"/>
        <v>26.434082201600006</v>
      </c>
      <c r="F307" s="3">
        <f t="shared" si="89"/>
        <v>26.397244743680012</v>
      </c>
      <c r="G307" s="3">
        <f>2*(E307)-(F307)</f>
        <v>26.47091965952</v>
      </c>
      <c r="H307" s="3">
        <f t="shared" si="91"/>
        <v>9.2093644799984276E-3</v>
      </c>
      <c r="I307" s="3">
        <f t="shared" si="94"/>
        <v>28.985811968</v>
      </c>
      <c r="J307" s="5">
        <f t="shared" si="93"/>
        <v>-0.31753690763636366</v>
      </c>
      <c r="K307" s="5">
        <f t="shared" si="87"/>
        <v>0.31753690763636366</v>
      </c>
    </row>
    <row r="308" spans="2:11" x14ac:dyDescent="0.25">
      <c r="B308" s="3" t="s">
        <v>8</v>
      </c>
      <c r="C308" s="3">
        <v>2022</v>
      </c>
      <c r="D308" s="4">
        <v>20</v>
      </c>
      <c r="E308" s="3">
        <f t="shared" si="88"/>
        <v>25.147265761280007</v>
      </c>
      <c r="F308" s="3">
        <f t="shared" si="89"/>
        <v>26.147248947200012</v>
      </c>
      <c r="G308" s="3">
        <f t="shared" ref="G308:G331" si="95">2*(E308)-(F308)</f>
        <v>24.147282575360002</v>
      </c>
      <c r="H308" s="3">
        <f t="shared" si="91"/>
        <v>-0.24999579648000125</v>
      </c>
      <c r="I308" s="3">
        <f t="shared" si="94"/>
        <v>26.480129024</v>
      </c>
      <c r="J308" s="5">
        <f t="shared" si="93"/>
        <v>-0.32400645119999999</v>
      </c>
      <c r="K308" s="5">
        <f t="shared" si="87"/>
        <v>0.32400645119999999</v>
      </c>
    </row>
    <row r="309" spans="2:11" x14ac:dyDescent="0.25">
      <c r="B309" s="3" t="s">
        <v>9</v>
      </c>
      <c r="C309" s="3">
        <v>2022</v>
      </c>
      <c r="D309" s="4">
        <v>25</v>
      </c>
      <c r="E309" s="3">
        <f t="shared" si="88"/>
        <v>25.117812609024007</v>
      </c>
      <c r="F309" s="3">
        <f t="shared" si="89"/>
        <v>25.941361679564814</v>
      </c>
      <c r="G309" s="3">
        <f t="shared" si="95"/>
        <v>24.2942635384832</v>
      </c>
      <c r="H309" s="3">
        <f t="shared" si="91"/>
        <v>-0.20588726763520171</v>
      </c>
      <c r="I309" s="3">
        <f t="shared" si="94"/>
        <v>23.897286778880002</v>
      </c>
      <c r="J309" s="5">
        <f t="shared" si="93"/>
        <v>4.4108528844799932E-2</v>
      </c>
      <c r="K309" s="5">
        <f t="shared" si="87"/>
        <v>4.4108528844799932E-2</v>
      </c>
    </row>
    <row r="310" spans="2:11" x14ac:dyDescent="0.25">
      <c r="B310" s="3" t="s">
        <v>10</v>
      </c>
      <c r="C310" s="3">
        <v>2022</v>
      </c>
      <c r="D310" s="4">
        <v>29</v>
      </c>
      <c r="E310" s="3">
        <f t="shared" si="88"/>
        <v>25.894250087219209</v>
      </c>
      <c r="F310" s="3">
        <f t="shared" si="89"/>
        <v>25.931939361095694</v>
      </c>
      <c r="G310" s="3">
        <f t="shared" si="95"/>
        <v>25.856560813342725</v>
      </c>
      <c r="H310" s="3">
        <f t="shared" si="91"/>
        <v>-9.4223184691211159E-3</v>
      </c>
      <c r="I310" s="3">
        <f t="shared" si="94"/>
        <v>24.088376270847998</v>
      </c>
      <c r="J310" s="5">
        <f t="shared" si="93"/>
        <v>0.16936633548800006</v>
      </c>
      <c r="K310" s="5">
        <f t="shared" si="87"/>
        <v>0.16936633548800006</v>
      </c>
    </row>
    <row r="311" spans="2:11" x14ac:dyDescent="0.25">
      <c r="B311" s="3" t="s">
        <v>11</v>
      </c>
      <c r="C311" s="3">
        <v>2022</v>
      </c>
      <c r="D311" s="4">
        <v>30</v>
      </c>
      <c r="E311" s="3">
        <f t="shared" si="88"/>
        <v>26.71540006977537</v>
      </c>
      <c r="F311" s="3">
        <f t="shared" si="89"/>
        <v>26.088631502831632</v>
      </c>
      <c r="G311" s="3">
        <f t="shared" si="95"/>
        <v>27.342168636719109</v>
      </c>
      <c r="H311" s="3">
        <f t="shared" si="91"/>
        <v>0.1566921417359346</v>
      </c>
      <c r="I311" s="3">
        <f t="shared" si="94"/>
        <v>25.847138494873604</v>
      </c>
      <c r="J311" s="5">
        <f t="shared" si="93"/>
        <v>0.13842871683754651</v>
      </c>
      <c r="K311" s="5">
        <f t="shared" si="87"/>
        <v>0.13842871683754651</v>
      </c>
    </row>
    <row r="312" spans="2:11" x14ac:dyDescent="0.25">
      <c r="B312" s="3" t="s">
        <v>12</v>
      </c>
      <c r="C312" s="3">
        <v>2022</v>
      </c>
      <c r="D312" s="4">
        <v>33</v>
      </c>
      <c r="E312" s="3">
        <f t="shared" si="88"/>
        <v>27.972320055820298</v>
      </c>
      <c r="F312" s="3">
        <f t="shared" si="89"/>
        <v>26.465369213429366</v>
      </c>
      <c r="G312" s="3">
        <f t="shared" si="95"/>
        <v>29.479270898211229</v>
      </c>
      <c r="H312" s="3">
        <f t="shared" si="91"/>
        <v>0.37673771059773298</v>
      </c>
      <c r="I312" s="3">
        <f t="shared" si="94"/>
        <v>27.498860778455043</v>
      </c>
      <c r="J312" s="5">
        <f t="shared" si="93"/>
        <v>0.16670118853166535</v>
      </c>
      <c r="K312" s="5">
        <f t="shared" si="87"/>
        <v>0.16670118853166535</v>
      </c>
    </row>
    <row r="313" spans="2:11" x14ac:dyDescent="0.25">
      <c r="B313" s="3" t="s">
        <v>13</v>
      </c>
      <c r="C313" s="3">
        <v>2022</v>
      </c>
      <c r="D313" s="4">
        <v>37</v>
      </c>
      <c r="E313" s="3">
        <f t="shared" si="88"/>
        <v>29.777856044656239</v>
      </c>
      <c r="F313" s="3">
        <f t="shared" si="89"/>
        <v>27.127866579674745</v>
      </c>
      <c r="G313" s="3">
        <f t="shared" si="95"/>
        <v>32.427845509637734</v>
      </c>
      <c r="H313" s="3">
        <f t="shared" si="91"/>
        <v>0.6624973662453737</v>
      </c>
      <c r="I313" s="3">
        <f t="shared" si="94"/>
        <v>29.856008608808963</v>
      </c>
      <c r="J313" s="5">
        <f t="shared" si="93"/>
        <v>0.19308084841056855</v>
      </c>
      <c r="K313" s="5">
        <f t="shared" si="87"/>
        <v>0.19308084841056855</v>
      </c>
    </row>
    <row r="314" spans="2:11" x14ac:dyDescent="0.25">
      <c r="B314" s="3" t="s">
        <v>2</v>
      </c>
      <c r="C314" s="3">
        <v>2022</v>
      </c>
      <c r="D314" s="4">
        <v>39</v>
      </c>
      <c r="E314" s="3">
        <f t="shared" si="88"/>
        <v>31.622284835724994</v>
      </c>
      <c r="F314" s="3">
        <f t="shared" si="89"/>
        <v>28.026750230884797</v>
      </c>
      <c r="G314" s="3">
        <f t="shared" si="95"/>
        <v>35.217819440565194</v>
      </c>
      <c r="H314" s="3">
        <f t="shared" si="91"/>
        <v>0.89888365121004909</v>
      </c>
      <c r="I314" s="3">
        <f t="shared" si="94"/>
        <v>33.09034287588311</v>
      </c>
      <c r="J314" s="5">
        <f t="shared" si="93"/>
        <v>0.15152966984915103</v>
      </c>
      <c r="K314" s="5">
        <f t="shared" si="87"/>
        <v>0.15152966984915103</v>
      </c>
    </row>
    <row r="315" spans="2:11" x14ac:dyDescent="0.25">
      <c r="B315" s="3" t="s">
        <v>4</v>
      </c>
      <c r="C315" s="4">
        <v>2023</v>
      </c>
      <c r="D315" s="4">
        <v>35</v>
      </c>
      <c r="E315" s="3">
        <f t="shared" si="88"/>
        <v>32.297827868580001</v>
      </c>
      <c r="F315" s="3">
        <f t="shared" si="89"/>
        <v>28.880965758423841</v>
      </c>
      <c r="G315" s="3">
        <f t="shared" si="95"/>
        <v>35.71468997873616</v>
      </c>
      <c r="H315" s="3">
        <f t="shared" si="91"/>
        <v>0.85421552753903995</v>
      </c>
      <c r="I315" s="3">
        <f t="shared" si="94"/>
        <v>36.116703091775243</v>
      </c>
      <c r="J315" s="5">
        <f t="shared" si="93"/>
        <v>-3.1905802622149794E-2</v>
      </c>
      <c r="K315" s="5">
        <f t="shared" si="87"/>
        <v>3.1905802622149794E-2</v>
      </c>
    </row>
    <row r="316" spans="2:11" x14ac:dyDescent="0.25">
      <c r="B316" s="3" t="s">
        <v>3</v>
      </c>
      <c r="C316" s="4">
        <v>2023</v>
      </c>
      <c r="D316" s="4">
        <v>31</v>
      </c>
      <c r="E316" s="3">
        <f t="shared" si="88"/>
        <v>32.038262294864005</v>
      </c>
      <c r="F316" s="3">
        <f t="shared" si="89"/>
        <v>29.512425065711877</v>
      </c>
      <c r="G316" s="3">
        <f t="shared" si="95"/>
        <v>34.564099524016129</v>
      </c>
      <c r="H316" s="3">
        <f t="shared" si="91"/>
        <v>0.6314593072880319</v>
      </c>
      <c r="I316" s="3">
        <f t="shared" si="94"/>
        <v>36.5689055062752</v>
      </c>
      <c r="J316" s="5">
        <f t="shared" si="93"/>
        <v>-0.17964211310565162</v>
      </c>
      <c r="K316" s="5">
        <f t="shared" si="87"/>
        <v>0.17964211310565162</v>
      </c>
    </row>
    <row r="317" spans="2:11" x14ac:dyDescent="0.25">
      <c r="B317" s="3" t="s">
        <v>5</v>
      </c>
      <c r="C317" s="4">
        <v>2023</v>
      </c>
      <c r="D317" s="4">
        <v>29</v>
      </c>
      <c r="E317" s="3">
        <f t="shared" si="88"/>
        <v>31.430609835891207</v>
      </c>
      <c r="F317" s="3">
        <f t="shared" si="89"/>
        <v>29.896062019747745</v>
      </c>
      <c r="G317" s="3">
        <f t="shared" si="95"/>
        <v>32.965157652034669</v>
      </c>
      <c r="H317" s="3">
        <f t="shared" si="91"/>
        <v>0.38363695403586551</v>
      </c>
      <c r="I317" s="3">
        <f t="shared" si="94"/>
        <v>35.195558831304162</v>
      </c>
      <c r="J317" s="5">
        <f t="shared" si="93"/>
        <v>-0.21363995970014352</v>
      </c>
      <c r="K317" s="5">
        <f t="shared" si="87"/>
        <v>0.21363995970014352</v>
      </c>
    </row>
    <row r="318" spans="2:11" x14ac:dyDescent="0.25">
      <c r="B318" s="3" t="s">
        <v>6</v>
      </c>
      <c r="C318" s="4">
        <v>2023</v>
      </c>
      <c r="D318" s="4">
        <v>29</v>
      </c>
      <c r="E318" s="3">
        <f t="shared" si="88"/>
        <v>30.944487868712969</v>
      </c>
      <c r="F318" s="3">
        <f t="shared" si="89"/>
        <v>30.105747189540793</v>
      </c>
      <c r="G318" s="3">
        <f t="shared" si="95"/>
        <v>31.783228547885145</v>
      </c>
      <c r="H318" s="3">
        <f t="shared" si="91"/>
        <v>0.20968516979304397</v>
      </c>
      <c r="I318" s="3">
        <f t="shared" si="94"/>
        <v>33.348794606070534</v>
      </c>
      <c r="J318" s="5">
        <f t="shared" si="93"/>
        <v>-0.14995843469208739</v>
      </c>
      <c r="K318" s="5">
        <f t="shared" si="87"/>
        <v>0.14995843469208739</v>
      </c>
    </row>
    <row r="319" spans="2:11" x14ac:dyDescent="0.25">
      <c r="B319" s="3" t="s">
        <v>7</v>
      </c>
      <c r="C319" s="4">
        <v>2023</v>
      </c>
      <c r="D319" s="4">
        <v>27</v>
      </c>
      <c r="E319" s="3">
        <f t="shared" si="88"/>
        <v>30.155590294970374</v>
      </c>
      <c r="F319" s="3">
        <f t="shared" si="89"/>
        <v>30.11571581062671</v>
      </c>
      <c r="G319" s="3">
        <f t="shared" si="95"/>
        <v>30.195464779314037</v>
      </c>
      <c r="H319" s="3">
        <f t="shared" si="91"/>
        <v>9.9686210859157853E-3</v>
      </c>
      <c r="I319" s="3">
        <f t="shared" si="94"/>
        <v>31.992913717678189</v>
      </c>
      <c r="J319" s="5">
        <f t="shared" si="93"/>
        <v>-0.18492273028437736</v>
      </c>
      <c r="K319" s="5">
        <f t="shared" si="87"/>
        <v>0.18492273028437736</v>
      </c>
    </row>
    <row r="320" spans="2:11" x14ac:dyDescent="0.25">
      <c r="B320" s="3" t="s">
        <v>8</v>
      </c>
      <c r="C320" s="4">
        <v>2023</v>
      </c>
      <c r="D320" s="4">
        <v>25</v>
      </c>
      <c r="E320" s="3">
        <f t="shared" si="88"/>
        <v>29.124472235976299</v>
      </c>
      <c r="F320" s="3">
        <f t="shared" si="89"/>
        <v>29.91746709569663</v>
      </c>
      <c r="G320" s="3">
        <f t="shared" si="95"/>
        <v>28.331477376255968</v>
      </c>
      <c r="H320" s="3">
        <f t="shared" si="91"/>
        <v>-0.19824871493008267</v>
      </c>
      <c r="I320" s="3">
        <f t="shared" si="94"/>
        <v>30.205433400399954</v>
      </c>
      <c r="J320" s="5">
        <f t="shared" si="93"/>
        <v>-0.20821733601599818</v>
      </c>
      <c r="K320" s="5">
        <f t="shared" si="87"/>
        <v>0.20821733601599818</v>
      </c>
    </row>
    <row r="321" spans="2:11" x14ac:dyDescent="0.25">
      <c r="B321" s="3" t="s">
        <v>9</v>
      </c>
      <c r="C321" s="4">
        <v>2023</v>
      </c>
      <c r="D321" s="4">
        <v>28</v>
      </c>
      <c r="E321" s="3">
        <f t="shared" si="88"/>
        <v>28.899577788781041</v>
      </c>
      <c r="F321" s="3">
        <f t="shared" si="89"/>
        <v>29.713889234313513</v>
      </c>
      <c r="G321" s="3">
        <f t="shared" si="95"/>
        <v>28.08526634324857</v>
      </c>
      <c r="H321" s="3">
        <f t="shared" si="91"/>
        <v>-0.20357786138311784</v>
      </c>
      <c r="I321" s="3">
        <f t="shared" si="94"/>
        <v>28.133228661325887</v>
      </c>
      <c r="J321" s="5">
        <f t="shared" si="93"/>
        <v>-4.7581664759245457E-3</v>
      </c>
      <c r="K321" s="5">
        <f t="shared" si="87"/>
        <v>4.7581664759245457E-3</v>
      </c>
    </row>
    <row r="322" spans="2:11" x14ac:dyDescent="0.25">
      <c r="B322" s="3" t="s">
        <v>10</v>
      </c>
      <c r="C322" s="4">
        <v>2023</v>
      </c>
      <c r="D322" s="4">
        <v>30</v>
      </c>
      <c r="E322" s="3">
        <f t="shared" si="88"/>
        <v>29.119662231024833</v>
      </c>
      <c r="F322" s="3">
        <f t="shared" si="89"/>
        <v>29.59504383365578</v>
      </c>
      <c r="G322" s="3">
        <f t="shared" si="95"/>
        <v>28.644280628393886</v>
      </c>
      <c r="H322" s="3">
        <f t="shared" si="91"/>
        <v>-0.11884540065773663</v>
      </c>
      <c r="I322" s="3">
        <f t="shared" si="94"/>
        <v>27.881688481865453</v>
      </c>
      <c r="J322" s="5">
        <f t="shared" si="93"/>
        <v>7.0610383937818239E-2</v>
      </c>
      <c r="K322" s="5">
        <f t="shared" si="87"/>
        <v>7.0610383937818239E-2</v>
      </c>
    </row>
    <row r="323" spans="2:11" x14ac:dyDescent="0.25">
      <c r="B323" s="3" t="s">
        <v>11</v>
      </c>
      <c r="C323" s="4">
        <v>2023</v>
      </c>
      <c r="D323" s="4">
        <v>35</v>
      </c>
      <c r="E323" s="3">
        <f t="shared" si="88"/>
        <v>30.295729784819869</v>
      </c>
      <c r="F323" s="3">
        <f t="shared" si="89"/>
        <v>29.7351810238886</v>
      </c>
      <c r="G323" s="3">
        <f t="shared" si="95"/>
        <v>30.856278545751138</v>
      </c>
      <c r="H323" s="3">
        <f t="shared" si="91"/>
        <v>0.14013719023281723</v>
      </c>
      <c r="I323" s="3">
        <f t="shared" si="94"/>
        <v>28.52543522773615</v>
      </c>
      <c r="J323" s="5">
        <f t="shared" si="93"/>
        <v>0.1849875649218243</v>
      </c>
      <c r="K323" s="5">
        <f t="shared" si="87"/>
        <v>0.1849875649218243</v>
      </c>
    </row>
    <row r="324" spans="2:11" x14ac:dyDescent="0.25">
      <c r="B324" s="3" t="s">
        <v>12</v>
      </c>
      <c r="C324" s="4">
        <v>2023</v>
      </c>
      <c r="D324" s="4">
        <v>39</v>
      </c>
      <c r="E324" s="3">
        <f t="shared" si="88"/>
        <v>32.036583827855893</v>
      </c>
      <c r="F324" s="3">
        <f t="shared" si="89"/>
        <v>30.195461584682061</v>
      </c>
      <c r="G324" s="3">
        <f t="shared" si="95"/>
        <v>33.877706071029721</v>
      </c>
      <c r="H324" s="3">
        <f t="shared" si="91"/>
        <v>0.46028056079345792</v>
      </c>
      <c r="I324" s="3">
        <f t="shared" si="94"/>
        <v>30.996415735983955</v>
      </c>
      <c r="J324" s="5">
        <f t="shared" si="93"/>
        <v>0.20522010933374474</v>
      </c>
      <c r="K324" s="5">
        <f t="shared" si="87"/>
        <v>0.20522010933374474</v>
      </c>
    </row>
    <row r="325" spans="2:11" x14ac:dyDescent="0.25">
      <c r="B325" s="3" t="s">
        <v>13</v>
      </c>
      <c r="C325" s="4">
        <v>2024</v>
      </c>
      <c r="D325" s="4">
        <v>48</v>
      </c>
      <c r="E325" s="3">
        <f t="shared" si="88"/>
        <v>35.22926706228472</v>
      </c>
      <c r="F325" s="3">
        <f t="shared" si="89"/>
        <v>31.202222680202595</v>
      </c>
      <c r="G325" s="3">
        <f t="shared" si="95"/>
        <v>39.256311444366844</v>
      </c>
      <c r="H325" s="3">
        <f t="shared" si="91"/>
        <v>1.0067610955205311</v>
      </c>
      <c r="I325" s="3">
        <f t="shared" si="94"/>
        <v>34.337986631823178</v>
      </c>
      <c r="J325" s="5">
        <f t="shared" si="93"/>
        <v>0.2846252785036838</v>
      </c>
      <c r="K325" s="5">
        <f t="shared" si="87"/>
        <v>0.2846252785036838</v>
      </c>
    </row>
    <row r="326" spans="2:11" x14ac:dyDescent="0.25">
      <c r="B326" s="3" t="s">
        <v>2</v>
      </c>
      <c r="C326" s="4">
        <v>2024</v>
      </c>
      <c r="D326" s="4">
        <v>52</v>
      </c>
      <c r="E326" s="3">
        <f t="shared" si="88"/>
        <v>38.583413649827776</v>
      </c>
      <c r="F326" s="3">
        <f t="shared" si="89"/>
        <v>32.678460874127637</v>
      </c>
      <c r="G326" s="3">
        <f t="shared" si="95"/>
        <v>44.488366425527914</v>
      </c>
      <c r="H326" s="3">
        <f t="shared" si="91"/>
        <v>1.4762381939250346</v>
      </c>
      <c r="I326" s="3">
        <f t="shared" si="94"/>
        <v>40.263072539887375</v>
      </c>
      <c r="J326" s="5">
        <f t="shared" si="93"/>
        <v>0.22571014346370433</v>
      </c>
      <c r="K326" s="5">
        <f t="shared" si="87"/>
        <v>0.22571014346370433</v>
      </c>
    </row>
    <row r="327" spans="2:11" x14ac:dyDescent="0.25">
      <c r="B327" s="3" t="s">
        <v>4</v>
      </c>
      <c r="C327" s="4">
        <v>2024</v>
      </c>
      <c r="D327" s="4">
        <v>47</v>
      </c>
      <c r="E327" s="3">
        <f t="shared" si="88"/>
        <v>40.266730919862219</v>
      </c>
      <c r="F327" s="3">
        <f t="shared" si="89"/>
        <v>34.196114883274554</v>
      </c>
      <c r="G327" s="3">
        <f t="shared" si="95"/>
        <v>46.337346956449885</v>
      </c>
      <c r="H327" s="3">
        <f t="shared" si="91"/>
        <v>1.5176540091469164</v>
      </c>
      <c r="I327" s="3">
        <f t="shared" si="94"/>
        <v>45.964604619452949</v>
      </c>
      <c r="J327" s="5">
        <f t="shared" si="93"/>
        <v>2.2029688947809597E-2</v>
      </c>
      <c r="K327" s="5">
        <f t="shared" si="87"/>
        <v>2.2029688947809597E-2</v>
      </c>
    </row>
    <row r="328" spans="2:11" x14ac:dyDescent="0.25">
      <c r="B328" s="3" t="s">
        <v>3</v>
      </c>
      <c r="C328" s="4">
        <v>2024</v>
      </c>
      <c r="D328" s="4">
        <v>40</v>
      </c>
      <c r="E328" s="3">
        <f t="shared" si="88"/>
        <v>40.213384735889775</v>
      </c>
      <c r="F328" s="3">
        <f t="shared" si="89"/>
        <v>35.399568853797604</v>
      </c>
      <c r="G328" s="3">
        <f t="shared" si="95"/>
        <v>45.027200617981947</v>
      </c>
      <c r="H328" s="3">
        <f t="shared" si="91"/>
        <v>1.2034539705230429</v>
      </c>
      <c r="I328" s="3">
        <f t="shared" si="94"/>
        <v>47.855000965596801</v>
      </c>
      <c r="J328" s="5">
        <f t="shared" si="93"/>
        <v>-0.19637502413992003</v>
      </c>
      <c r="K328" s="5">
        <f t="shared" si="87"/>
        <v>0.19637502413992003</v>
      </c>
    </row>
    <row r="329" spans="2:11" x14ac:dyDescent="0.25">
      <c r="B329" s="3" t="s">
        <v>5</v>
      </c>
      <c r="C329" s="4">
        <v>2024</v>
      </c>
      <c r="D329" s="4">
        <v>36</v>
      </c>
      <c r="E329" s="3">
        <f t="shared" si="88"/>
        <v>39.370707788711826</v>
      </c>
      <c r="F329" s="3">
        <f t="shared" si="89"/>
        <v>36.193796640780448</v>
      </c>
      <c r="G329" s="3">
        <f t="shared" si="95"/>
        <v>42.547618936643204</v>
      </c>
      <c r="H329" s="3">
        <f t="shared" si="91"/>
        <v>0.79422778698284446</v>
      </c>
      <c r="I329" s="3">
        <f t="shared" si="94"/>
        <v>46.23065458850499</v>
      </c>
      <c r="J329" s="5">
        <f t="shared" si="93"/>
        <v>-0.28418484968069418</v>
      </c>
      <c r="K329" s="5">
        <f t="shared" si="87"/>
        <v>0.28418484968069418</v>
      </c>
    </row>
    <row r="330" spans="2:11" x14ac:dyDescent="0.25">
      <c r="B330" s="3" t="s">
        <v>6</v>
      </c>
      <c r="C330" s="4">
        <v>2024</v>
      </c>
      <c r="D330" s="4">
        <v>35</v>
      </c>
      <c r="E330" s="3">
        <f t="shared" si="88"/>
        <v>38.496566230969464</v>
      </c>
      <c r="F330" s="3">
        <f t="shared" si="89"/>
        <v>36.654350558818251</v>
      </c>
      <c r="G330" s="3">
        <f t="shared" si="95"/>
        <v>40.338781903120676</v>
      </c>
      <c r="H330" s="3">
        <f t="shared" si="91"/>
        <v>0.4605539180378031</v>
      </c>
      <c r="I330" s="3">
        <f t="shared" si="94"/>
        <v>43.341846723626048</v>
      </c>
      <c r="J330" s="5">
        <f t="shared" si="93"/>
        <v>-0.23833847781788708</v>
      </c>
      <c r="K330" s="5">
        <f t="shared" si="87"/>
        <v>0.23833847781788708</v>
      </c>
    </row>
    <row r="331" spans="2:11" x14ac:dyDescent="0.25">
      <c r="B331" s="3" t="s">
        <v>7</v>
      </c>
      <c r="C331" s="4">
        <v>2024</v>
      </c>
      <c r="D331" s="4">
        <v>31</v>
      </c>
      <c r="E331" s="3">
        <f t="shared" si="88"/>
        <v>36.997252984775571</v>
      </c>
      <c r="F331" s="3">
        <f t="shared" si="89"/>
        <v>36.722931044009719</v>
      </c>
      <c r="G331" s="3">
        <f t="shared" si="95"/>
        <v>37.271574925541422</v>
      </c>
      <c r="H331" s="3">
        <f t="shared" si="91"/>
        <v>6.858048519146287E-2</v>
      </c>
      <c r="I331" s="3">
        <f t="shared" si="94"/>
        <v>40.799335821158479</v>
      </c>
      <c r="J331" s="5">
        <f t="shared" si="93"/>
        <v>-0.31610760713414449</v>
      </c>
      <c r="K331" s="5">
        <f t="shared" si="87"/>
        <v>0.31610760713414449</v>
      </c>
    </row>
    <row r="332" spans="2:11" x14ac:dyDescent="0.25">
      <c r="B332" s="6" t="s">
        <v>8</v>
      </c>
      <c r="C332" s="7">
        <v>2024</v>
      </c>
      <c r="D332" s="6"/>
      <c r="E332" s="8"/>
      <c r="F332" s="8"/>
      <c r="G332" s="8"/>
      <c r="H332" s="8"/>
      <c r="I332" s="9">
        <f t="shared" si="94"/>
        <v>37.340155410732883</v>
      </c>
      <c r="J332" s="6" t="s">
        <v>21</v>
      </c>
      <c r="K332" s="10">
        <f>100/36*SUM(K297:K331)</f>
        <v>16.824803915113417</v>
      </c>
    </row>
    <row r="337" spans="2:14" x14ac:dyDescent="0.25">
      <c r="B337" s="11" t="s">
        <v>0</v>
      </c>
      <c r="C337" s="11" t="s">
        <v>1</v>
      </c>
      <c r="D337" s="11" t="s">
        <v>22</v>
      </c>
      <c r="E337" s="11" t="s">
        <v>14</v>
      </c>
      <c r="F337" s="11" t="s">
        <v>15</v>
      </c>
      <c r="G337" s="11" t="s">
        <v>16</v>
      </c>
      <c r="H337" s="11" t="s">
        <v>17</v>
      </c>
      <c r="I337" s="11" t="s">
        <v>18</v>
      </c>
      <c r="J337" s="11" t="s">
        <v>19</v>
      </c>
      <c r="K337" s="11" t="s">
        <v>20</v>
      </c>
      <c r="N337" s="12">
        <v>0.1</v>
      </c>
    </row>
    <row r="338" spans="2:14" x14ac:dyDescent="0.25">
      <c r="B338" s="3" t="s">
        <v>8</v>
      </c>
      <c r="C338" s="3">
        <v>2021</v>
      </c>
      <c r="D338" s="3">
        <v>20</v>
      </c>
      <c r="E338" s="3">
        <v>20</v>
      </c>
      <c r="F338" s="3">
        <v>20</v>
      </c>
      <c r="G338" s="3">
        <v>20</v>
      </c>
      <c r="H338" s="3">
        <v>0</v>
      </c>
      <c r="I338" s="3"/>
      <c r="J338" s="4"/>
      <c r="K338" s="4"/>
      <c r="N338" s="12">
        <v>0.9</v>
      </c>
    </row>
    <row r="339" spans="2:14" x14ac:dyDescent="0.25">
      <c r="B339" s="3" t="s">
        <v>9</v>
      </c>
      <c r="C339" s="3">
        <v>2021</v>
      </c>
      <c r="D339" s="3">
        <v>25</v>
      </c>
      <c r="E339" s="3">
        <f>($N$337)*D339+($N$338)*E338</f>
        <v>20.5</v>
      </c>
      <c r="F339" s="3">
        <f>($N$337)*E339+($N$338)*F338</f>
        <v>20.05</v>
      </c>
      <c r="G339" s="3">
        <f>2*(E339)-(F339)</f>
        <v>20.95</v>
      </c>
      <c r="H339" s="3">
        <f>$N$337/$N$338*(E339-F339)</f>
        <v>4.9999999999999926E-2</v>
      </c>
      <c r="I339" s="3">
        <f>G338+H338</f>
        <v>20</v>
      </c>
      <c r="J339" s="5">
        <f>(D339-I339)/D339</f>
        <v>0.2</v>
      </c>
      <c r="K339" s="5">
        <f t="shared" ref="K339:K373" si="96">ABS(J339)</f>
        <v>0.2</v>
      </c>
    </row>
    <row r="340" spans="2:14" x14ac:dyDescent="0.25">
      <c r="B340" s="3" t="s">
        <v>10</v>
      </c>
      <c r="C340" s="3">
        <v>2021</v>
      </c>
      <c r="D340" s="3">
        <v>27</v>
      </c>
      <c r="E340" s="3">
        <f t="shared" ref="E340:E373" si="97">($N$337)*D340+($N$338)*E339</f>
        <v>21.15</v>
      </c>
      <c r="F340" s="3">
        <f t="shared" ref="F340:F373" si="98">($N$337)*E340+($N$338)*F339</f>
        <v>20.16</v>
      </c>
      <c r="G340" s="3">
        <f t="shared" ref="G340:G348" si="99">2*(E340)-(F340)</f>
        <v>22.139999999999997</v>
      </c>
      <c r="H340" s="3">
        <f t="shared" ref="H340:H373" si="100">$N$337/$N$338*(E340-F340)</f>
        <v>0.10999999999999983</v>
      </c>
      <c r="I340" s="3">
        <f>G339+H339</f>
        <v>21</v>
      </c>
      <c r="J340" s="5">
        <f>(D340-I340)/D340</f>
        <v>0.22222222222222221</v>
      </c>
      <c r="K340" s="5">
        <f t="shared" si="96"/>
        <v>0.22222222222222221</v>
      </c>
    </row>
    <row r="341" spans="2:14" x14ac:dyDescent="0.25">
      <c r="B341" s="3" t="s">
        <v>11</v>
      </c>
      <c r="C341" s="3">
        <v>2021</v>
      </c>
      <c r="D341" s="3">
        <v>30</v>
      </c>
      <c r="E341" s="3">
        <f t="shared" si="97"/>
        <v>22.035</v>
      </c>
      <c r="F341" s="3">
        <f t="shared" si="98"/>
        <v>20.347500000000004</v>
      </c>
      <c r="G341" s="3">
        <f t="shared" si="99"/>
        <v>23.722499999999997</v>
      </c>
      <c r="H341" s="3">
        <f t="shared" si="100"/>
        <v>0.18749999999999961</v>
      </c>
      <c r="I341" s="3">
        <f t="shared" ref="I341:I345" si="101">G340+H340</f>
        <v>22.249999999999996</v>
      </c>
      <c r="J341" s="5">
        <f t="shared" ref="J341:J373" si="102">(D341-I341)/D341</f>
        <v>0.25833333333333347</v>
      </c>
      <c r="K341" s="5">
        <f t="shared" si="96"/>
        <v>0.25833333333333347</v>
      </c>
    </row>
    <row r="342" spans="2:14" x14ac:dyDescent="0.25">
      <c r="B342" s="3" t="s">
        <v>12</v>
      </c>
      <c r="C342" s="3">
        <v>2021</v>
      </c>
      <c r="D342" s="3">
        <v>32</v>
      </c>
      <c r="E342" s="3">
        <f t="shared" si="97"/>
        <v>23.031500000000001</v>
      </c>
      <c r="F342" s="3">
        <f t="shared" si="98"/>
        <v>20.615900000000003</v>
      </c>
      <c r="G342" s="3">
        <f t="shared" si="99"/>
        <v>25.447099999999999</v>
      </c>
      <c r="H342" s="3">
        <f t="shared" si="100"/>
        <v>0.26839999999999975</v>
      </c>
      <c r="I342" s="3">
        <f t="shared" si="101"/>
        <v>23.909999999999997</v>
      </c>
      <c r="J342" s="5">
        <f t="shared" si="102"/>
        <v>0.25281250000000011</v>
      </c>
      <c r="K342" s="5">
        <f t="shared" si="96"/>
        <v>0.25281250000000011</v>
      </c>
    </row>
    <row r="343" spans="2:14" x14ac:dyDescent="0.25">
      <c r="B343" s="3" t="s">
        <v>13</v>
      </c>
      <c r="C343" s="3">
        <v>2021</v>
      </c>
      <c r="D343" s="3">
        <v>33</v>
      </c>
      <c r="E343" s="3">
        <f t="shared" si="97"/>
        <v>24.028350000000003</v>
      </c>
      <c r="F343" s="3">
        <f t="shared" si="98"/>
        <v>20.957145000000004</v>
      </c>
      <c r="G343" s="3">
        <f t="shared" si="99"/>
        <v>27.099555000000002</v>
      </c>
      <c r="H343" s="3">
        <f t="shared" si="100"/>
        <v>0.34124499999999991</v>
      </c>
      <c r="I343" s="3">
        <f t="shared" si="101"/>
        <v>25.715499999999999</v>
      </c>
      <c r="J343" s="5">
        <f t="shared" si="102"/>
        <v>0.2207424242424243</v>
      </c>
      <c r="K343" s="5">
        <f t="shared" si="96"/>
        <v>0.2207424242424243</v>
      </c>
    </row>
    <row r="344" spans="2:14" x14ac:dyDescent="0.25">
      <c r="B344" s="3" t="s">
        <v>2</v>
      </c>
      <c r="C344" s="3">
        <v>2021</v>
      </c>
      <c r="D344" s="3">
        <v>33</v>
      </c>
      <c r="E344" s="3">
        <f t="shared" si="97"/>
        <v>24.925515000000004</v>
      </c>
      <c r="F344" s="3">
        <f t="shared" si="98"/>
        <v>21.353982000000006</v>
      </c>
      <c r="G344" s="3">
        <f t="shared" si="99"/>
        <v>28.497048000000003</v>
      </c>
      <c r="H344" s="3">
        <f t="shared" si="100"/>
        <v>0.39683699999999988</v>
      </c>
      <c r="I344" s="3">
        <f t="shared" si="101"/>
        <v>27.440800000000003</v>
      </c>
      <c r="J344" s="5">
        <f t="shared" si="102"/>
        <v>0.16846060606060598</v>
      </c>
      <c r="K344" s="5">
        <f t="shared" si="96"/>
        <v>0.16846060606060598</v>
      </c>
    </row>
    <row r="345" spans="2:14" x14ac:dyDescent="0.25">
      <c r="B345" s="3" t="s">
        <v>4</v>
      </c>
      <c r="C345" s="3">
        <v>2022</v>
      </c>
      <c r="D345" s="3">
        <v>30</v>
      </c>
      <c r="E345" s="3">
        <f t="shared" si="97"/>
        <v>25.432963500000003</v>
      </c>
      <c r="F345" s="3">
        <f t="shared" si="98"/>
        <v>21.761880150000003</v>
      </c>
      <c r="G345" s="3">
        <f t="shared" si="99"/>
        <v>29.104046850000003</v>
      </c>
      <c r="H345" s="3">
        <f t="shared" si="100"/>
        <v>0.40789815000000001</v>
      </c>
      <c r="I345" s="3">
        <f t="shared" si="101"/>
        <v>28.893885000000004</v>
      </c>
      <c r="J345" s="5">
        <f t="shared" si="102"/>
        <v>3.6870499999999848E-2</v>
      </c>
      <c r="K345" s="5">
        <f t="shared" si="96"/>
        <v>3.6870499999999848E-2</v>
      </c>
    </row>
    <row r="346" spans="2:14" x14ac:dyDescent="0.25">
      <c r="B346" s="3" t="s">
        <v>3</v>
      </c>
      <c r="C346" s="3">
        <v>2022</v>
      </c>
      <c r="D346" s="3">
        <v>28</v>
      </c>
      <c r="E346" s="3">
        <f t="shared" si="97"/>
        <v>25.689667150000005</v>
      </c>
      <c r="F346" s="3">
        <f t="shared" si="98"/>
        <v>22.154658850000004</v>
      </c>
      <c r="G346" s="3">
        <f t="shared" si="99"/>
        <v>29.224675450000007</v>
      </c>
      <c r="H346" s="3">
        <f t="shared" si="100"/>
        <v>0.39277870000000015</v>
      </c>
      <c r="I346" s="3">
        <f>G345+H345</f>
        <v>29.511945000000004</v>
      </c>
      <c r="J346" s="5">
        <f t="shared" si="102"/>
        <v>-5.3998035714285866E-2</v>
      </c>
      <c r="K346" s="5">
        <f t="shared" si="96"/>
        <v>5.3998035714285866E-2</v>
      </c>
    </row>
    <row r="347" spans="2:14" x14ac:dyDescent="0.25">
      <c r="B347" s="3" t="s">
        <v>5</v>
      </c>
      <c r="C347" s="3">
        <v>2022</v>
      </c>
      <c r="D347" s="3">
        <v>26</v>
      </c>
      <c r="E347" s="3">
        <f t="shared" si="97"/>
        <v>25.720700435000008</v>
      </c>
      <c r="F347" s="3">
        <f t="shared" si="98"/>
        <v>22.511263008500006</v>
      </c>
      <c r="G347" s="3">
        <f t="shared" si="99"/>
        <v>28.930137861500011</v>
      </c>
      <c r="H347" s="3">
        <f t="shared" si="100"/>
        <v>0.35660415850000032</v>
      </c>
      <c r="I347" s="3">
        <f t="shared" ref="I347:I374" si="103">G346+H346</f>
        <v>29.617454150000007</v>
      </c>
      <c r="J347" s="5">
        <f t="shared" si="102"/>
        <v>-0.1391328519230772</v>
      </c>
      <c r="K347" s="5">
        <f t="shared" si="96"/>
        <v>0.1391328519230772</v>
      </c>
    </row>
    <row r="348" spans="2:14" x14ac:dyDescent="0.25">
      <c r="B348" s="3" t="s">
        <v>6</v>
      </c>
      <c r="C348" s="3">
        <v>2022</v>
      </c>
      <c r="D348" s="3">
        <v>26</v>
      </c>
      <c r="E348" s="3">
        <f t="shared" si="97"/>
        <v>25.748630391500008</v>
      </c>
      <c r="F348" s="3">
        <f t="shared" si="98"/>
        <v>22.834999746800008</v>
      </c>
      <c r="G348" s="3">
        <f t="shared" si="99"/>
        <v>28.662261036200007</v>
      </c>
      <c r="H348" s="3">
        <f t="shared" si="100"/>
        <v>0.32373673829999999</v>
      </c>
      <c r="I348" s="3">
        <f t="shared" si="103"/>
        <v>29.286742020000013</v>
      </c>
      <c r="J348" s="5">
        <f t="shared" si="102"/>
        <v>-0.1264131546153851</v>
      </c>
      <c r="K348" s="5">
        <f t="shared" si="96"/>
        <v>0.1264131546153851</v>
      </c>
    </row>
    <row r="349" spans="2:14" x14ac:dyDescent="0.25">
      <c r="B349" s="3" t="s">
        <v>7</v>
      </c>
      <c r="C349" s="3">
        <v>2022</v>
      </c>
      <c r="D349" s="3">
        <v>22</v>
      </c>
      <c r="E349" s="3">
        <f t="shared" si="97"/>
        <v>25.373767352350008</v>
      </c>
      <c r="F349" s="3">
        <f t="shared" si="98"/>
        <v>23.088876507355007</v>
      </c>
      <c r="G349" s="3">
        <f>2*(E349)-(F349)</f>
        <v>27.658658197345009</v>
      </c>
      <c r="H349" s="3">
        <f t="shared" si="100"/>
        <v>0.25387676055500014</v>
      </c>
      <c r="I349" s="3">
        <f t="shared" si="103"/>
        <v>28.985997774500007</v>
      </c>
      <c r="J349" s="5">
        <f t="shared" si="102"/>
        <v>-0.31754535338636392</v>
      </c>
      <c r="K349" s="5">
        <f t="shared" si="96"/>
        <v>0.31754535338636392</v>
      </c>
    </row>
    <row r="350" spans="2:14" x14ac:dyDescent="0.25">
      <c r="B350" s="3" t="s">
        <v>8</v>
      </c>
      <c r="C350" s="3">
        <v>2022</v>
      </c>
      <c r="D350" s="4">
        <v>20</v>
      </c>
      <c r="E350" s="3">
        <f t="shared" si="97"/>
        <v>24.836390617115008</v>
      </c>
      <c r="F350" s="3">
        <f t="shared" si="98"/>
        <v>23.263627918331007</v>
      </c>
      <c r="G350" s="3">
        <f t="shared" ref="G350:G373" si="104">2*(E350)-(F350)</f>
        <v>26.409153315899008</v>
      </c>
      <c r="H350" s="3">
        <f t="shared" si="100"/>
        <v>0.17475141097600005</v>
      </c>
      <c r="I350" s="3">
        <f t="shared" si="103"/>
        <v>27.912534957900007</v>
      </c>
      <c r="J350" s="5">
        <f t="shared" si="102"/>
        <v>-0.39562674789500035</v>
      </c>
      <c r="K350" s="5">
        <f t="shared" si="96"/>
        <v>0.39562674789500035</v>
      </c>
    </row>
    <row r="351" spans="2:14" x14ac:dyDescent="0.25">
      <c r="B351" s="3" t="s">
        <v>9</v>
      </c>
      <c r="C351" s="3">
        <v>2022</v>
      </c>
      <c r="D351" s="4">
        <v>25</v>
      </c>
      <c r="E351" s="3">
        <f t="shared" si="97"/>
        <v>24.852751555403508</v>
      </c>
      <c r="F351" s="3">
        <f t="shared" si="98"/>
        <v>23.422540282038256</v>
      </c>
      <c r="G351" s="3">
        <f t="shared" si="104"/>
        <v>26.28296282876876</v>
      </c>
      <c r="H351" s="3">
        <f t="shared" si="100"/>
        <v>0.15891236370725026</v>
      </c>
      <c r="I351" s="3">
        <f t="shared" si="103"/>
        <v>26.583904726875009</v>
      </c>
      <c r="J351" s="5">
        <f t="shared" si="102"/>
        <v>-6.3356189075000346E-2</v>
      </c>
      <c r="K351" s="5">
        <f t="shared" si="96"/>
        <v>6.3356189075000346E-2</v>
      </c>
    </row>
    <row r="352" spans="2:14" x14ac:dyDescent="0.25">
      <c r="B352" s="3" t="s">
        <v>10</v>
      </c>
      <c r="C352" s="3">
        <v>2022</v>
      </c>
      <c r="D352" s="4">
        <v>29</v>
      </c>
      <c r="E352" s="3">
        <f t="shared" si="97"/>
        <v>25.267476399863156</v>
      </c>
      <c r="F352" s="3">
        <f t="shared" si="98"/>
        <v>23.607033893820745</v>
      </c>
      <c r="G352" s="3">
        <f t="shared" si="104"/>
        <v>26.927918905905567</v>
      </c>
      <c r="H352" s="3">
        <f t="shared" si="100"/>
        <v>0.18449361178249016</v>
      </c>
      <c r="I352" s="3">
        <f t="shared" si="103"/>
        <v>26.441875192476012</v>
      </c>
      <c r="J352" s="5">
        <f t="shared" si="102"/>
        <v>8.8211200259447869E-2</v>
      </c>
      <c r="K352" s="5">
        <f t="shared" si="96"/>
        <v>8.8211200259447869E-2</v>
      </c>
    </row>
    <row r="353" spans="2:11" x14ac:dyDescent="0.25">
      <c r="B353" s="3" t="s">
        <v>11</v>
      </c>
      <c r="C353" s="3">
        <v>2022</v>
      </c>
      <c r="D353" s="4">
        <v>30</v>
      </c>
      <c r="E353" s="3">
        <f t="shared" si="97"/>
        <v>25.740728759876841</v>
      </c>
      <c r="F353" s="3">
        <f t="shared" si="98"/>
        <v>23.820403380426356</v>
      </c>
      <c r="G353" s="3">
        <f t="shared" si="104"/>
        <v>27.661054139327327</v>
      </c>
      <c r="H353" s="3">
        <f t="shared" si="100"/>
        <v>0.2133694866056095</v>
      </c>
      <c r="I353" s="3">
        <f t="shared" si="103"/>
        <v>27.112412517688057</v>
      </c>
      <c r="J353" s="5">
        <f t="shared" si="102"/>
        <v>9.6252916077064779E-2</v>
      </c>
      <c r="K353" s="5">
        <f t="shared" si="96"/>
        <v>9.6252916077064779E-2</v>
      </c>
    </row>
    <row r="354" spans="2:11" x14ac:dyDescent="0.25">
      <c r="B354" s="3" t="s">
        <v>12</v>
      </c>
      <c r="C354" s="3">
        <v>2022</v>
      </c>
      <c r="D354" s="4">
        <v>33</v>
      </c>
      <c r="E354" s="3">
        <f t="shared" si="97"/>
        <v>26.466655883889157</v>
      </c>
      <c r="F354" s="3">
        <f t="shared" si="98"/>
        <v>24.085028630772637</v>
      </c>
      <c r="G354" s="3">
        <f t="shared" si="104"/>
        <v>28.848283137005676</v>
      </c>
      <c r="H354" s="3">
        <f t="shared" si="100"/>
        <v>0.26462525034627998</v>
      </c>
      <c r="I354" s="3">
        <f t="shared" si="103"/>
        <v>27.874423625932938</v>
      </c>
      <c r="J354" s="5">
        <f t="shared" si="102"/>
        <v>0.15532049618385038</v>
      </c>
      <c r="K354" s="5">
        <f t="shared" si="96"/>
        <v>0.15532049618385038</v>
      </c>
    </row>
    <row r="355" spans="2:11" x14ac:dyDescent="0.25">
      <c r="B355" s="3" t="s">
        <v>13</v>
      </c>
      <c r="C355" s="3">
        <v>2022</v>
      </c>
      <c r="D355" s="4">
        <v>37</v>
      </c>
      <c r="E355" s="3">
        <f t="shared" si="97"/>
        <v>27.519990295500239</v>
      </c>
      <c r="F355" s="3">
        <f t="shared" si="98"/>
        <v>24.428524797245398</v>
      </c>
      <c r="G355" s="3">
        <f t="shared" si="104"/>
        <v>30.611455793755081</v>
      </c>
      <c r="H355" s="3">
        <f t="shared" si="100"/>
        <v>0.34349616647276016</v>
      </c>
      <c r="I355" s="3">
        <f t="shared" si="103"/>
        <v>29.112908387351958</v>
      </c>
      <c r="J355" s="5">
        <f t="shared" si="102"/>
        <v>0.21316463817967682</v>
      </c>
      <c r="K355" s="5">
        <f t="shared" si="96"/>
        <v>0.21316463817967682</v>
      </c>
    </row>
    <row r="356" spans="2:11" x14ac:dyDescent="0.25">
      <c r="B356" s="3" t="s">
        <v>2</v>
      </c>
      <c r="C356" s="3">
        <v>2022</v>
      </c>
      <c r="D356" s="4">
        <v>39</v>
      </c>
      <c r="E356" s="3">
        <f t="shared" si="97"/>
        <v>28.667991265950214</v>
      </c>
      <c r="F356" s="3">
        <f t="shared" si="98"/>
        <v>24.852471444115881</v>
      </c>
      <c r="G356" s="3">
        <f t="shared" si="104"/>
        <v>32.483511087784549</v>
      </c>
      <c r="H356" s="3">
        <f t="shared" si="100"/>
        <v>0.42394664687048139</v>
      </c>
      <c r="I356" s="3">
        <f t="shared" si="103"/>
        <v>30.954951960227842</v>
      </c>
      <c r="J356" s="5">
        <f t="shared" si="102"/>
        <v>0.20628328307108099</v>
      </c>
      <c r="K356" s="5">
        <f t="shared" si="96"/>
        <v>0.20628328307108099</v>
      </c>
    </row>
    <row r="357" spans="2:11" x14ac:dyDescent="0.25">
      <c r="B357" s="3" t="s">
        <v>4</v>
      </c>
      <c r="C357" s="4">
        <v>2023</v>
      </c>
      <c r="D357" s="4">
        <v>35</v>
      </c>
      <c r="E357" s="3">
        <f t="shared" si="97"/>
        <v>29.301192139355194</v>
      </c>
      <c r="F357" s="3">
        <f t="shared" si="98"/>
        <v>25.297343513639813</v>
      </c>
      <c r="G357" s="3">
        <f t="shared" si="104"/>
        <v>33.305040765070572</v>
      </c>
      <c r="H357" s="3">
        <f t="shared" si="100"/>
        <v>0.44487206952393127</v>
      </c>
      <c r="I357" s="3">
        <f t="shared" si="103"/>
        <v>32.907457734655033</v>
      </c>
      <c r="J357" s="5">
        <f t="shared" si="102"/>
        <v>5.9786921866999063E-2</v>
      </c>
      <c r="K357" s="5">
        <f t="shared" si="96"/>
        <v>5.9786921866999063E-2</v>
      </c>
    </row>
    <row r="358" spans="2:11" x14ac:dyDescent="0.25">
      <c r="B358" s="3" t="s">
        <v>3</v>
      </c>
      <c r="C358" s="4">
        <v>2023</v>
      </c>
      <c r="D358" s="4">
        <v>31</v>
      </c>
      <c r="E358" s="3">
        <f t="shared" si="97"/>
        <v>29.471072925419676</v>
      </c>
      <c r="F358" s="3">
        <f t="shared" si="98"/>
        <v>25.7147164548178</v>
      </c>
      <c r="G358" s="3">
        <f t="shared" si="104"/>
        <v>33.227429396021549</v>
      </c>
      <c r="H358" s="3">
        <f t="shared" si="100"/>
        <v>0.41737294117798623</v>
      </c>
      <c r="I358" s="3">
        <f t="shared" si="103"/>
        <v>33.749912834594504</v>
      </c>
      <c r="J358" s="5">
        <f t="shared" si="102"/>
        <v>-8.8706865632080772E-2</v>
      </c>
      <c r="K358" s="5">
        <f t="shared" si="96"/>
        <v>8.8706865632080772E-2</v>
      </c>
    </row>
    <row r="359" spans="2:11" x14ac:dyDescent="0.25">
      <c r="B359" s="3" t="s">
        <v>5</v>
      </c>
      <c r="C359" s="4">
        <v>2023</v>
      </c>
      <c r="D359" s="4">
        <v>29</v>
      </c>
      <c r="E359" s="3">
        <f t="shared" si="97"/>
        <v>29.42396563287771</v>
      </c>
      <c r="F359" s="3">
        <f t="shared" si="98"/>
        <v>26.085641372623794</v>
      </c>
      <c r="G359" s="3">
        <f t="shared" si="104"/>
        <v>32.762289893131623</v>
      </c>
      <c r="H359" s="3">
        <f t="shared" si="100"/>
        <v>0.37092491780599074</v>
      </c>
      <c r="I359" s="3">
        <f t="shared" si="103"/>
        <v>33.644802337199536</v>
      </c>
      <c r="J359" s="5">
        <f t="shared" si="102"/>
        <v>-0.16016559783446677</v>
      </c>
      <c r="K359" s="5">
        <f t="shared" si="96"/>
        <v>0.16016559783446677</v>
      </c>
    </row>
    <row r="360" spans="2:11" x14ac:dyDescent="0.25">
      <c r="B360" s="3" t="s">
        <v>6</v>
      </c>
      <c r="C360" s="4">
        <v>2023</v>
      </c>
      <c r="D360" s="4">
        <v>29</v>
      </c>
      <c r="E360" s="3">
        <f t="shared" si="97"/>
        <v>29.381569069589943</v>
      </c>
      <c r="F360" s="3">
        <f t="shared" si="98"/>
        <v>26.415234142320408</v>
      </c>
      <c r="G360" s="3">
        <f t="shared" si="104"/>
        <v>32.347903996859479</v>
      </c>
      <c r="H360" s="3">
        <f t="shared" si="100"/>
        <v>0.32959276969661511</v>
      </c>
      <c r="I360" s="3">
        <f t="shared" si="103"/>
        <v>33.133214810937616</v>
      </c>
      <c r="J360" s="5">
        <f t="shared" si="102"/>
        <v>-0.14252464865302125</v>
      </c>
      <c r="K360" s="5">
        <f t="shared" si="96"/>
        <v>0.14252464865302125</v>
      </c>
    </row>
    <row r="361" spans="2:11" x14ac:dyDescent="0.25">
      <c r="B361" s="3" t="s">
        <v>7</v>
      </c>
      <c r="C361" s="4">
        <v>2023</v>
      </c>
      <c r="D361" s="4">
        <v>27</v>
      </c>
      <c r="E361" s="3">
        <f t="shared" si="97"/>
        <v>29.143412162630948</v>
      </c>
      <c r="F361" s="3">
        <f t="shared" si="98"/>
        <v>26.688051944351464</v>
      </c>
      <c r="G361" s="3">
        <f t="shared" si="104"/>
        <v>31.598772380910432</v>
      </c>
      <c r="H361" s="3">
        <f t="shared" si="100"/>
        <v>0.27281780203105382</v>
      </c>
      <c r="I361" s="3">
        <f t="shared" si="103"/>
        <v>32.677496766556096</v>
      </c>
      <c r="J361" s="5">
        <f t="shared" si="102"/>
        <v>-0.21027765802059617</v>
      </c>
      <c r="K361" s="5">
        <f t="shared" si="96"/>
        <v>0.21027765802059617</v>
      </c>
    </row>
    <row r="362" spans="2:11" x14ac:dyDescent="0.25">
      <c r="B362" s="3" t="s">
        <v>8</v>
      </c>
      <c r="C362" s="4">
        <v>2023</v>
      </c>
      <c r="D362" s="4">
        <v>25</v>
      </c>
      <c r="E362" s="3">
        <f t="shared" si="97"/>
        <v>28.729070946367855</v>
      </c>
      <c r="F362" s="3">
        <f t="shared" si="98"/>
        <v>26.892153844553107</v>
      </c>
      <c r="G362" s="3">
        <f t="shared" si="104"/>
        <v>30.565988048182604</v>
      </c>
      <c r="H362" s="3">
        <f t="shared" si="100"/>
        <v>0.20410190020163871</v>
      </c>
      <c r="I362" s="3">
        <f t="shared" si="103"/>
        <v>31.871590182941485</v>
      </c>
      <c r="J362" s="5">
        <f t="shared" si="102"/>
        <v>-0.27486360731765941</v>
      </c>
      <c r="K362" s="5">
        <f t="shared" si="96"/>
        <v>0.27486360731765941</v>
      </c>
    </row>
    <row r="363" spans="2:11" x14ac:dyDescent="0.25">
      <c r="B363" s="3" t="s">
        <v>9</v>
      </c>
      <c r="C363" s="4">
        <v>2023</v>
      </c>
      <c r="D363" s="4">
        <v>28</v>
      </c>
      <c r="E363" s="3">
        <f t="shared" si="97"/>
        <v>28.656163851731073</v>
      </c>
      <c r="F363" s="3">
        <f t="shared" si="98"/>
        <v>27.068554845270906</v>
      </c>
      <c r="G363" s="3">
        <f t="shared" si="104"/>
        <v>30.243772858191239</v>
      </c>
      <c r="H363" s="3">
        <f t="shared" si="100"/>
        <v>0.17640100071779627</v>
      </c>
      <c r="I363" s="3">
        <f t="shared" si="103"/>
        <v>30.770089948384243</v>
      </c>
      <c r="J363" s="5">
        <f t="shared" si="102"/>
        <v>-9.8931783870865805E-2</v>
      </c>
      <c r="K363" s="5">
        <f t="shared" si="96"/>
        <v>9.8931783870865805E-2</v>
      </c>
    </row>
    <row r="364" spans="2:11" x14ac:dyDescent="0.25">
      <c r="B364" s="3" t="s">
        <v>10</v>
      </c>
      <c r="C364" s="4">
        <v>2023</v>
      </c>
      <c r="D364" s="4">
        <v>30</v>
      </c>
      <c r="E364" s="3">
        <f t="shared" si="97"/>
        <v>28.790547466557967</v>
      </c>
      <c r="F364" s="3">
        <f t="shared" si="98"/>
        <v>27.240754107399614</v>
      </c>
      <c r="G364" s="3">
        <f t="shared" si="104"/>
        <v>30.340340825716321</v>
      </c>
      <c r="H364" s="3">
        <f t="shared" si="100"/>
        <v>0.17219926212870601</v>
      </c>
      <c r="I364" s="3">
        <f t="shared" si="103"/>
        <v>30.420173858909035</v>
      </c>
      <c r="J364" s="5">
        <f t="shared" si="102"/>
        <v>-1.4005795296967823E-2</v>
      </c>
      <c r="K364" s="5">
        <f t="shared" si="96"/>
        <v>1.4005795296967823E-2</v>
      </c>
    </row>
    <row r="365" spans="2:11" x14ac:dyDescent="0.25">
      <c r="B365" s="3" t="s">
        <v>11</v>
      </c>
      <c r="C365" s="4">
        <v>2023</v>
      </c>
      <c r="D365" s="4">
        <v>35</v>
      </c>
      <c r="E365" s="3">
        <f t="shared" si="97"/>
        <v>29.411492719902171</v>
      </c>
      <c r="F365" s="3">
        <f t="shared" si="98"/>
        <v>27.45782796864987</v>
      </c>
      <c r="G365" s="3">
        <f t="shared" si="104"/>
        <v>31.365157471154472</v>
      </c>
      <c r="H365" s="3">
        <f t="shared" si="100"/>
        <v>0.21707386125025568</v>
      </c>
      <c r="I365" s="3">
        <f t="shared" si="103"/>
        <v>30.512540087845029</v>
      </c>
      <c r="J365" s="5">
        <f t="shared" si="102"/>
        <v>0.1282131403472849</v>
      </c>
      <c r="K365" s="5">
        <f t="shared" si="96"/>
        <v>0.1282131403472849</v>
      </c>
    </row>
    <row r="366" spans="2:11" x14ac:dyDescent="0.25">
      <c r="B366" s="3" t="s">
        <v>12</v>
      </c>
      <c r="C366" s="4">
        <v>2023</v>
      </c>
      <c r="D366" s="4">
        <v>39</v>
      </c>
      <c r="E366" s="3">
        <f t="shared" si="97"/>
        <v>30.370343447911957</v>
      </c>
      <c r="F366" s="3">
        <f t="shared" si="98"/>
        <v>27.749079516576078</v>
      </c>
      <c r="G366" s="3">
        <f t="shared" si="104"/>
        <v>32.991607379247839</v>
      </c>
      <c r="H366" s="3">
        <f t="shared" si="100"/>
        <v>0.29125154792620872</v>
      </c>
      <c r="I366" s="3">
        <f t="shared" si="103"/>
        <v>31.582231332404728</v>
      </c>
      <c r="J366" s="5">
        <f t="shared" si="102"/>
        <v>0.19019919660500698</v>
      </c>
      <c r="K366" s="5">
        <f t="shared" si="96"/>
        <v>0.19019919660500698</v>
      </c>
    </row>
    <row r="367" spans="2:11" x14ac:dyDescent="0.25">
      <c r="B367" s="3" t="s">
        <v>13</v>
      </c>
      <c r="C367" s="4">
        <v>2024</v>
      </c>
      <c r="D367" s="4">
        <v>48</v>
      </c>
      <c r="E367" s="3">
        <f t="shared" si="97"/>
        <v>32.133309103120766</v>
      </c>
      <c r="F367" s="3">
        <f t="shared" si="98"/>
        <v>28.187502475230549</v>
      </c>
      <c r="G367" s="3">
        <f t="shared" si="104"/>
        <v>36.079115731010987</v>
      </c>
      <c r="H367" s="3">
        <f t="shared" si="100"/>
        <v>0.43842295865446862</v>
      </c>
      <c r="I367" s="3">
        <f t="shared" si="103"/>
        <v>33.282858927174047</v>
      </c>
      <c r="J367" s="5">
        <f t="shared" si="102"/>
        <v>0.306607105683874</v>
      </c>
      <c r="K367" s="5">
        <f t="shared" si="96"/>
        <v>0.306607105683874</v>
      </c>
    </row>
    <row r="368" spans="2:11" x14ac:dyDescent="0.25">
      <c r="B368" s="3" t="s">
        <v>2</v>
      </c>
      <c r="C368" s="4">
        <v>2024</v>
      </c>
      <c r="D368" s="4">
        <v>52</v>
      </c>
      <c r="E368" s="3">
        <f t="shared" si="97"/>
        <v>34.119978192808688</v>
      </c>
      <c r="F368" s="3">
        <f t="shared" si="98"/>
        <v>28.780750046988363</v>
      </c>
      <c r="G368" s="3">
        <f t="shared" si="104"/>
        <v>39.459206338629016</v>
      </c>
      <c r="H368" s="3">
        <f t="shared" si="100"/>
        <v>0.59324757175781395</v>
      </c>
      <c r="I368" s="3">
        <f t="shared" si="103"/>
        <v>36.517538689665457</v>
      </c>
      <c r="J368" s="5">
        <f t="shared" si="102"/>
        <v>0.29773964058335661</v>
      </c>
      <c r="K368" s="5">
        <f t="shared" si="96"/>
        <v>0.29773964058335661</v>
      </c>
    </row>
    <row r="369" spans="2:11" x14ac:dyDescent="0.25">
      <c r="B369" s="3" t="s">
        <v>4</v>
      </c>
      <c r="C369" s="4">
        <v>2024</v>
      </c>
      <c r="D369" s="4">
        <v>47</v>
      </c>
      <c r="E369" s="3">
        <f t="shared" si="97"/>
        <v>35.40798037352782</v>
      </c>
      <c r="F369" s="3">
        <f t="shared" si="98"/>
        <v>29.44347307964231</v>
      </c>
      <c r="G369" s="3">
        <f t="shared" si="104"/>
        <v>41.372487667413331</v>
      </c>
      <c r="H369" s="3">
        <f t="shared" si="100"/>
        <v>0.66272303265394572</v>
      </c>
      <c r="I369" s="3">
        <f t="shared" si="103"/>
        <v>40.052453910386831</v>
      </c>
      <c r="J369" s="5">
        <f t="shared" si="102"/>
        <v>0.14782012956623763</v>
      </c>
      <c r="K369" s="5">
        <f t="shared" si="96"/>
        <v>0.14782012956623763</v>
      </c>
    </row>
    <row r="370" spans="2:11" x14ac:dyDescent="0.25">
      <c r="B370" s="3" t="s">
        <v>3</v>
      </c>
      <c r="C370" s="4">
        <v>2024</v>
      </c>
      <c r="D370" s="4">
        <v>40</v>
      </c>
      <c r="E370" s="3">
        <f t="shared" si="97"/>
        <v>35.867182336175034</v>
      </c>
      <c r="F370" s="3">
        <f t="shared" si="98"/>
        <v>30.085844005295584</v>
      </c>
      <c r="G370" s="3">
        <f t="shared" si="104"/>
        <v>41.648520667054484</v>
      </c>
      <c r="H370" s="3">
        <f t="shared" si="100"/>
        <v>0.64237092565327225</v>
      </c>
      <c r="I370" s="3">
        <f t="shared" si="103"/>
        <v>42.035210700067275</v>
      </c>
      <c r="J370" s="5">
        <f t="shared" si="102"/>
        <v>-5.0880267501681863E-2</v>
      </c>
      <c r="K370" s="5">
        <f t="shared" si="96"/>
        <v>5.0880267501681863E-2</v>
      </c>
    </row>
    <row r="371" spans="2:11" x14ac:dyDescent="0.25">
      <c r="B371" s="3" t="s">
        <v>5</v>
      </c>
      <c r="C371" s="4">
        <v>2024</v>
      </c>
      <c r="D371" s="4">
        <v>36</v>
      </c>
      <c r="E371" s="3">
        <f t="shared" si="97"/>
        <v>35.880464102557532</v>
      </c>
      <c r="F371" s="3">
        <f t="shared" si="98"/>
        <v>30.66530601502178</v>
      </c>
      <c r="G371" s="3">
        <f t="shared" si="104"/>
        <v>41.09562219009328</v>
      </c>
      <c r="H371" s="3">
        <f t="shared" si="100"/>
        <v>0.57946200972619466</v>
      </c>
      <c r="I371" s="3">
        <f t="shared" si="103"/>
        <v>42.290891592707759</v>
      </c>
      <c r="J371" s="5">
        <f t="shared" si="102"/>
        <v>-0.17474698868632663</v>
      </c>
      <c r="K371" s="5">
        <f t="shared" si="96"/>
        <v>0.17474698868632663</v>
      </c>
    </row>
    <row r="372" spans="2:11" x14ac:dyDescent="0.25">
      <c r="B372" s="3" t="s">
        <v>6</v>
      </c>
      <c r="C372" s="4">
        <v>2024</v>
      </c>
      <c r="D372" s="4">
        <v>35</v>
      </c>
      <c r="E372" s="3">
        <f t="shared" si="97"/>
        <v>35.792417692301782</v>
      </c>
      <c r="F372" s="3">
        <f t="shared" si="98"/>
        <v>31.178017182749784</v>
      </c>
      <c r="G372" s="3">
        <f t="shared" si="104"/>
        <v>40.406818201853781</v>
      </c>
      <c r="H372" s="3">
        <f t="shared" si="100"/>
        <v>0.51271116772799985</v>
      </c>
      <c r="I372" s="3">
        <f t="shared" si="103"/>
        <v>41.675084199819473</v>
      </c>
      <c r="J372" s="5">
        <f t="shared" si="102"/>
        <v>-0.19071669142341352</v>
      </c>
      <c r="K372" s="5">
        <f t="shared" si="96"/>
        <v>0.19071669142341352</v>
      </c>
    </row>
    <row r="373" spans="2:11" x14ac:dyDescent="0.25">
      <c r="B373" s="3" t="s">
        <v>7</v>
      </c>
      <c r="C373" s="4">
        <v>2024</v>
      </c>
      <c r="D373" s="4">
        <v>31</v>
      </c>
      <c r="E373" s="3">
        <f t="shared" si="97"/>
        <v>35.313175923071604</v>
      </c>
      <c r="F373" s="3">
        <f t="shared" si="98"/>
        <v>31.591533056781966</v>
      </c>
      <c r="G373" s="3">
        <f t="shared" si="104"/>
        <v>39.034818789361239</v>
      </c>
      <c r="H373" s="3">
        <f t="shared" si="100"/>
        <v>0.4135158740321821</v>
      </c>
      <c r="I373" s="3">
        <f t="shared" si="103"/>
        <v>40.919529369581781</v>
      </c>
      <c r="J373" s="5">
        <f t="shared" si="102"/>
        <v>-0.31998481837360582</v>
      </c>
      <c r="K373" s="5">
        <f t="shared" si="96"/>
        <v>0.31998481837360582</v>
      </c>
    </row>
    <row r="374" spans="2:11" x14ac:dyDescent="0.25">
      <c r="B374" s="6" t="s">
        <v>8</v>
      </c>
      <c r="C374" s="7">
        <v>2024</v>
      </c>
      <c r="D374" s="6"/>
      <c r="E374" s="8"/>
      <c r="F374" s="8"/>
      <c r="G374" s="8"/>
      <c r="H374" s="8"/>
      <c r="I374" s="9">
        <f t="shared" si="103"/>
        <v>39.448334663393425</v>
      </c>
      <c r="J374" s="6" t="s">
        <v>21</v>
      </c>
      <c r="K374" s="10">
        <f>100/36*SUM(K339:K373)</f>
        <v>16.863659193061846</v>
      </c>
    </row>
  </sheetData>
  <mergeCells count="1">
    <mergeCell ref="R2:T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F6A6-DBFF-4532-AAF4-B691AAA8061E}">
  <dimension ref="B2:O79"/>
  <sheetViews>
    <sheetView topLeftCell="A19" workbookViewId="0">
      <selection activeCell="B2" sqref="B2:J39"/>
    </sheetView>
  </sheetViews>
  <sheetFormatPr defaultRowHeight="15" x14ac:dyDescent="0.25"/>
  <cols>
    <col min="2" max="2" width="8" bestFit="1" customWidth="1"/>
    <col min="3" max="3" width="10.85546875" bestFit="1" customWidth="1"/>
    <col min="5" max="5" width="6.7109375" bestFit="1" customWidth="1"/>
    <col min="6" max="6" width="3.28515625" style="46" bestFit="1" customWidth="1"/>
    <col min="7" max="7" width="3.85546875" style="46" bestFit="1" customWidth="1"/>
    <col min="8" max="8" width="3" style="46" bestFit="1" customWidth="1"/>
    <col min="9" max="9" width="6.28515625" style="50" bestFit="1" customWidth="1"/>
    <col min="10" max="10" width="3" style="46" bestFit="1" customWidth="1"/>
  </cols>
  <sheetData>
    <row r="2" spans="2:15" x14ac:dyDescent="0.25">
      <c r="B2" s="53" t="s">
        <v>65</v>
      </c>
      <c r="C2" s="11" t="s">
        <v>0</v>
      </c>
      <c r="D2" s="11" t="s">
        <v>1</v>
      </c>
      <c r="E2" s="11" t="s">
        <v>22</v>
      </c>
      <c r="F2" s="45" t="s">
        <v>14</v>
      </c>
      <c r="G2" s="45" t="s">
        <v>15</v>
      </c>
      <c r="H2" s="45" t="s">
        <v>16</v>
      </c>
      <c r="I2" s="47" t="s">
        <v>17</v>
      </c>
      <c r="J2" s="45" t="s">
        <v>18</v>
      </c>
      <c r="K2" s="11" t="s">
        <v>19</v>
      </c>
      <c r="L2" s="11" t="s">
        <v>20</v>
      </c>
      <c r="O2" s="12">
        <v>0.8</v>
      </c>
    </row>
    <row r="3" spans="2:15" x14ac:dyDescent="0.25">
      <c r="B3" s="54">
        <v>1</v>
      </c>
      <c r="C3" s="51" t="s">
        <v>8</v>
      </c>
      <c r="D3" s="3">
        <v>2021</v>
      </c>
      <c r="E3" s="3">
        <v>20</v>
      </c>
      <c r="F3" s="4">
        <v>20</v>
      </c>
      <c r="G3" s="4">
        <v>20</v>
      </c>
      <c r="H3" s="4">
        <v>20</v>
      </c>
      <c r="I3" s="4">
        <v>0</v>
      </c>
      <c r="J3" s="4"/>
      <c r="K3" s="4"/>
      <c r="L3" s="4"/>
      <c r="O3" s="12">
        <v>0.2</v>
      </c>
    </row>
    <row r="4" spans="2:15" x14ac:dyDescent="0.25">
      <c r="B4" s="54">
        <v>2</v>
      </c>
      <c r="C4" s="51" t="s">
        <v>9</v>
      </c>
      <c r="D4" s="3">
        <v>2022</v>
      </c>
      <c r="E4" s="3">
        <v>25</v>
      </c>
      <c r="F4" s="4">
        <f>($O$2)*E4+($O$3)*F3</f>
        <v>24</v>
      </c>
      <c r="G4" s="4">
        <f>($O$2)*F4+($O$3)*G3</f>
        <v>23.200000000000003</v>
      </c>
      <c r="H4" s="4">
        <f>2*(F4)-(G4)</f>
        <v>24.799999999999997</v>
      </c>
      <c r="I4" s="48">
        <f>$O$2/$O$3*(F4-G4)</f>
        <v>3.1999999999999886</v>
      </c>
      <c r="J4" s="4">
        <f>H3+I3</f>
        <v>20</v>
      </c>
      <c r="K4" s="5">
        <f t="shared" ref="K4:K38" si="0">(E4-J4)/E4</f>
        <v>0.2</v>
      </c>
      <c r="L4" s="5">
        <f>ABS(K4)</f>
        <v>0.2</v>
      </c>
    </row>
    <row r="5" spans="2:15" x14ac:dyDescent="0.25">
      <c r="B5" s="54">
        <v>3</v>
      </c>
      <c r="C5" s="51" t="s">
        <v>10</v>
      </c>
      <c r="D5" s="3">
        <v>2022</v>
      </c>
      <c r="E5" s="3">
        <v>27</v>
      </c>
      <c r="F5" s="4">
        <f t="shared" ref="F5:G20" si="1">($O$2)*E5+($O$3)*F4</f>
        <v>26.400000000000002</v>
      </c>
      <c r="G5" s="4">
        <f t="shared" si="1"/>
        <v>25.760000000000005</v>
      </c>
      <c r="H5" s="4">
        <f t="shared" ref="H5:H38" si="2">2*(F5)-(G5)</f>
        <v>27.04</v>
      </c>
      <c r="I5" s="48">
        <f t="shared" ref="I5:I38" si="3">$O$2/$O$3*(F5-G5)</f>
        <v>2.5599999999999881</v>
      </c>
      <c r="J5" s="4">
        <f>H4+I4</f>
        <v>27.999999999999986</v>
      </c>
      <c r="K5" s="5">
        <f t="shared" si="0"/>
        <v>-3.7037037037036508E-2</v>
      </c>
      <c r="L5" s="5">
        <f t="shared" ref="L5:L38" si="4">ABS(K5)</f>
        <v>3.7037037037036508E-2</v>
      </c>
    </row>
    <row r="6" spans="2:15" x14ac:dyDescent="0.25">
      <c r="B6" s="54">
        <v>4</v>
      </c>
      <c r="C6" s="51" t="s">
        <v>11</v>
      </c>
      <c r="D6" s="3">
        <v>2022</v>
      </c>
      <c r="E6" s="3">
        <v>30</v>
      </c>
      <c r="F6" s="4">
        <f t="shared" si="1"/>
        <v>29.28</v>
      </c>
      <c r="G6" s="4">
        <f t="shared" si="1"/>
        <v>28.576000000000004</v>
      </c>
      <c r="H6" s="4">
        <f t="shared" si="2"/>
        <v>29.983999999999998</v>
      </c>
      <c r="I6" s="48">
        <f t="shared" si="3"/>
        <v>2.8159999999999883</v>
      </c>
      <c r="J6" s="4">
        <f t="shared" ref="J6:J9" si="5">H5+I5</f>
        <v>29.599999999999987</v>
      </c>
      <c r="K6" s="5">
        <f t="shared" si="0"/>
        <v>1.3333333333333759E-2</v>
      </c>
      <c r="L6" s="5">
        <f t="shared" si="4"/>
        <v>1.3333333333333759E-2</v>
      </c>
    </row>
    <row r="7" spans="2:15" x14ac:dyDescent="0.25">
      <c r="B7" s="54">
        <v>5</v>
      </c>
      <c r="C7" s="51" t="s">
        <v>12</v>
      </c>
      <c r="D7" s="3">
        <v>2022</v>
      </c>
      <c r="E7" s="3">
        <v>32</v>
      </c>
      <c r="F7" s="4">
        <f t="shared" si="1"/>
        <v>31.456000000000003</v>
      </c>
      <c r="G7" s="4">
        <f t="shared" si="1"/>
        <v>30.880000000000003</v>
      </c>
      <c r="H7" s="4">
        <f t="shared" si="2"/>
        <v>32.032000000000004</v>
      </c>
      <c r="I7" s="48">
        <f t="shared" si="3"/>
        <v>2.304000000000002</v>
      </c>
      <c r="J7" s="4">
        <f t="shared" si="5"/>
        <v>32.799999999999983</v>
      </c>
      <c r="K7" s="5">
        <f t="shared" si="0"/>
        <v>-2.4999999999999467E-2</v>
      </c>
      <c r="L7" s="5">
        <f t="shared" si="4"/>
        <v>2.4999999999999467E-2</v>
      </c>
    </row>
    <row r="8" spans="2:15" x14ac:dyDescent="0.25">
      <c r="B8" s="54">
        <v>6</v>
      </c>
      <c r="C8" s="51" t="s">
        <v>13</v>
      </c>
      <c r="D8" s="3">
        <v>2022</v>
      </c>
      <c r="E8" s="3">
        <v>33</v>
      </c>
      <c r="F8" s="4">
        <f t="shared" si="1"/>
        <v>32.691200000000002</v>
      </c>
      <c r="G8" s="4">
        <f t="shared" si="1"/>
        <v>32.328960000000002</v>
      </c>
      <c r="H8" s="4">
        <f t="shared" si="2"/>
        <v>33.053440000000002</v>
      </c>
      <c r="I8" s="48">
        <f t="shared" si="3"/>
        <v>1.4489599999999996</v>
      </c>
      <c r="J8" s="4">
        <f t="shared" si="5"/>
        <v>34.336000000000006</v>
      </c>
      <c r="K8" s="5">
        <f t="shared" si="0"/>
        <v>-4.0484848484848658E-2</v>
      </c>
      <c r="L8" s="5">
        <f t="shared" si="4"/>
        <v>4.0484848484848658E-2</v>
      </c>
    </row>
    <row r="9" spans="2:15" x14ac:dyDescent="0.25">
      <c r="B9" s="54">
        <v>7</v>
      </c>
      <c r="C9" s="51" t="s">
        <v>2</v>
      </c>
      <c r="D9" s="3">
        <v>2022</v>
      </c>
      <c r="E9" s="3">
        <v>33</v>
      </c>
      <c r="F9" s="4">
        <f t="shared" si="1"/>
        <v>32.93824</v>
      </c>
      <c r="G9" s="4">
        <f t="shared" si="1"/>
        <v>32.816383999999999</v>
      </c>
      <c r="H9" s="4">
        <f t="shared" si="2"/>
        <v>33.060096000000001</v>
      </c>
      <c r="I9" s="48">
        <f t="shared" si="3"/>
        <v>0.4874240000000043</v>
      </c>
      <c r="J9" s="4">
        <f t="shared" si="5"/>
        <v>34.502400000000002</v>
      </c>
      <c r="K9" s="5">
        <f t="shared" si="0"/>
        <v>-4.552727272727277E-2</v>
      </c>
      <c r="L9" s="5">
        <f t="shared" si="4"/>
        <v>4.552727272727277E-2</v>
      </c>
    </row>
    <row r="10" spans="2:15" x14ac:dyDescent="0.25">
      <c r="B10" s="54">
        <v>8</v>
      </c>
      <c r="C10" s="51" t="s">
        <v>4</v>
      </c>
      <c r="D10" s="3">
        <v>2022</v>
      </c>
      <c r="E10" s="3">
        <v>30</v>
      </c>
      <c r="F10" s="4">
        <f t="shared" si="1"/>
        <v>30.587648000000002</v>
      </c>
      <c r="G10" s="4">
        <f t="shared" si="1"/>
        <v>31.033395200000005</v>
      </c>
      <c r="H10" s="4">
        <f t="shared" si="2"/>
        <v>30.141900799999998</v>
      </c>
      <c r="I10" s="48">
        <f t="shared" si="3"/>
        <v>-1.7829888000000125</v>
      </c>
      <c r="J10" s="4">
        <f>H9+I9</f>
        <v>33.547520000000006</v>
      </c>
      <c r="K10" s="5">
        <f t="shared" si="0"/>
        <v>-0.11825066666666686</v>
      </c>
      <c r="L10" s="5">
        <f t="shared" si="4"/>
        <v>0.11825066666666686</v>
      </c>
    </row>
    <row r="11" spans="2:15" x14ac:dyDescent="0.25">
      <c r="B11" s="54">
        <v>9</v>
      </c>
      <c r="C11" s="51" t="s">
        <v>3</v>
      </c>
      <c r="D11" s="3">
        <v>2022</v>
      </c>
      <c r="E11" s="3">
        <v>28</v>
      </c>
      <c r="F11" s="4">
        <f t="shared" si="1"/>
        <v>28.517529600000003</v>
      </c>
      <c r="G11" s="4">
        <f t="shared" si="1"/>
        <v>29.020702720000006</v>
      </c>
      <c r="H11" s="4">
        <f t="shared" si="2"/>
        <v>28.01435648</v>
      </c>
      <c r="I11" s="48">
        <f t="shared" si="3"/>
        <v>-2.0126924800000126</v>
      </c>
      <c r="J11" s="4">
        <f t="shared" ref="J11:J38" si="6">H10+I10</f>
        <v>28.358911999999986</v>
      </c>
      <c r="K11" s="5">
        <f t="shared" si="0"/>
        <v>-1.2818285714285211E-2</v>
      </c>
      <c r="L11" s="5">
        <f t="shared" si="4"/>
        <v>1.2818285714285211E-2</v>
      </c>
    </row>
    <row r="12" spans="2:15" x14ac:dyDescent="0.25">
      <c r="B12" s="54">
        <v>10</v>
      </c>
      <c r="C12" s="51" t="s">
        <v>5</v>
      </c>
      <c r="D12" s="3">
        <v>2022</v>
      </c>
      <c r="E12" s="3">
        <v>26</v>
      </c>
      <c r="F12" s="4">
        <f t="shared" si="1"/>
        <v>26.503505920000002</v>
      </c>
      <c r="G12" s="4">
        <f t="shared" si="1"/>
        <v>27.006945280000007</v>
      </c>
      <c r="H12" s="4">
        <f t="shared" si="2"/>
        <v>26.000066559999997</v>
      </c>
      <c r="I12" s="48">
        <f t="shared" si="3"/>
        <v>-2.0137574400000204</v>
      </c>
      <c r="J12" s="4">
        <f t="shared" si="6"/>
        <v>26.001663999999987</v>
      </c>
      <c r="K12" s="5">
        <f t="shared" si="0"/>
        <v>-6.3999999999517432E-5</v>
      </c>
      <c r="L12" s="5">
        <f t="shared" si="4"/>
        <v>6.3999999999517432E-5</v>
      </c>
    </row>
    <row r="13" spans="2:15" x14ac:dyDescent="0.25">
      <c r="B13" s="54">
        <v>11</v>
      </c>
      <c r="C13" s="51" t="s">
        <v>6</v>
      </c>
      <c r="D13" s="3">
        <v>2022</v>
      </c>
      <c r="E13" s="3">
        <v>26</v>
      </c>
      <c r="F13" s="4">
        <f t="shared" si="1"/>
        <v>26.100701184000002</v>
      </c>
      <c r="G13" s="4">
        <f t="shared" si="1"/>
        <v>26.281950003200006</v>
      </c>
      <c r="H13" s="4">
        <f t="shared" si="2"/>
        <v>25.919452364799998</v>
      </c>
      <c r="I13" s="48">
        <f t="shared" si="3"/>
        <v>-0.72499527680001563</v>
      </c>
      <c r="J13" s="4">
        <f t="shared" si="6"/>
        <v>23.986309119999977</v>
      </c>
      <c r="K13" s="5">
        <f t="shared" si="0"/>
        <v>7.7449649230770135E-2</v>
      </c>
      <c r="L13" s="5">
        <f t="shared" si="4"/>
        <v>7.7449649230770135E-2</v>
      </c>
    </row>
    <row r="14" spans="2:15" x14ac:dyDescent="0.25">
      <c r="B14" s="54">
        <v>12</v>
      </c>
      <c r="C14" s="51" t="s">
        <v>7</v>
      </c>
      <c r="D14" s="3">
        <v>2022</v>
      </c>
      <c r="E14" s="3">
        <v>22</v>
      </c>
      <c r="F14" s="4">
        <f t="shared" si="1"/>
        <v>22.8201402368</v>
      </c>
      <c r="G14" s="4">
        <f t="shared" si="1"/>
        <v>23.512502190079999</v>
      </c>
      <c r="H14" s="4">
        <f t="shared" si="2"/>
        <v>22.127778283520001</v>
      </c>
      <c r="I14" s="48">
        <f t="shared" si="3"/>
        <v>-2.7694478131199958</v>
      </c>
      <c r="J14" s="4">
        <f t="shared" si="6"/>
        <v>25.194457087999982</v>
      </c>
      <c r="K14" s="5">
        <f t="shared" si="0"/>
        <v>-0.1452025949090901</v>
      </c>
      <c r="L14" s="5">
        <f t="shared" si="4"/>
        <v>0.1452025949090901</v>
      </c>
    </row>
    <row r="15" spans="2:15" x14ac:dyDescent="0.25">
      <c r="B15" s="54">
        <v>13</v>
      </c>
      <c r="C15" s="51" t="s">
        <v>8</v>
      </c>
      <c r="D15" s="3">
        <v>2022</v>
      </c>
      <c r="E15" s="4">
        <v>20</v>
      </c>
      <c r="F15" s="4">
        <f t="shared" si="1"/>
        <v>20.564028047360001</v>
      </c>
      <c r="G15" s="4">
        <f t="shared" si="1"/>
        <v>21.153722875904002</v>
      </c>
      <c r="H15" s="4">
        <f t="shared" si="2"/>
        <v>19.974333218816</v>
      </c>
      <c r="I15" s="48">
        <f t="shared" si="3"/>
        <v>-2.3587793141760045</v>
      </c>
      <c r="J15" s="4">
        <f t="shared" si="6"/>
        <v>19.358330470400006</v>
      </c>
      <c r="K15" s="5">
        <f t="shared" si="0"/>
        <v>3.208347647999972E-2</v>
      </c>
      <c r="L15" s="5">
        <f t="shared" si="4"/>
        <v>3.208347647999972E-2</v>
      </c>
      <c r="N15" s="2"/>
      <c r="O15" s="2"/>
    </row>
    <row r="16" spans="2:15" x14ac:dyDescent="0.25">
      <c r="B16" s="54">
        <v>14</v>
      </c>
      <c r="C16" s="51" t="s">
        <v>9</v>
      </c>
      <c r="D16" s="3">
        <v>2022</v>
      </c>
      <c r="E16" s="4">
        <v>25</v>
      </c>
      <c r="F16" s="4">
        <f t="shared" si="1"/>
        <v>24.112805609472002</v>
      </c>
      <c r="G16" s="4">
        <f t="shared" si="1"/>
        <v>23.520989062758403</v>
      </c>
      <c r="H16" s="4">
        <f t="shared" si="2"/>
        <v>24.7046221561856</v>
      </c>
      <c r="I16" s="48">
        <f t="shared" si="3"/>
        <v>2.367266186854394</v>
      </c>
      <c r="J16" s="4">
        <f t="shared" si="6"/>
        <v>17.615553904639995</v>
      </c>
      <c r="K16" s="5">
        <f t="shared" si="0"/>
        <v>0.29537784381440019</v>
      </c>
      <c r="L16" s="5">
        <f t="shared" si="4"/>
        <v>0.29537784381440019</v>
      </c>
    </row>
    <row r="17" spans="2:12" x14ac:dyDescent="0.25">
      <c r="B17" s="54">
        <v>15</v>
      </c>
      <c r="C17" s="51" t="s">
        <v>10</v>
      </c>
      <c r="D17" s="3">
        <v>2022</v>
      </c>
      <c r="E17" s="4">
        <v>29</v>
      </c>
      <c r="F17" s="4">
        <f t="shared" si="1"/>
        <v>28.022561121894405</v>
      </c>
      <c r="G17" s="4">
        <f t="shared" si="1"/>
        <v>27.122246710067206</v>
      </c>
      <c r="H17" s="4">
        <f t="shared" si="2"/>
        <v>28.922875533721605</v>
      </c>
      <c r="I17" s="48">
        <f t="shared" si="3"/>
        <v>3.6012576473087989</v>
      </c>
      <c r="J17" s="4">
        <f t="shared" si="6"/>
        <v>27.071888343039994</v>
      </c>
      <c r="K17" s="5">
        <f t="shared" si="0"/>
        <v>6.6486608860689855E-2</v>
      </c>
      <c r="L17" s="5">
        <f t="shared" si="4"/>
        <v>6.6486608860689855E-2</v>
      </c>
    </row>
    <row r="18" spans="2:12" x14ac:dyDescent="0.25">
      <c r="B18" s="54">
        <v>16</v>
      </c>
      <c r="C18" s="51" t="s">
        <v>11</v>
      </c>
      <c r="D18" s="3">
        <v>2022</v>
      </c>
      <c r="E18" s="4">
        <v>30</v>
      </c>
      <c r="F18" s="4">
        <f t="shared" si="1"/>
        <v>29.60451222437888</v>
      </c>
      <c r="G18" s="4">
        <f t="shared" si="1"/>
        <v>29.108059121516547</v>
      </c>
      <c r="H18" s="4">
        <f t="shared" si="2"/>
        <v>30.100965327241212</v>
      </c>
      <c r="I18" s="48">
        <f t="shared" si="3"/>
        <v>1.9858124114493307</v>
      </c>
      <c r="J18" s="4">
        <f t="shared" si="6"/>
        <v>32.524133181030408</v>
      </c>
      <c r="K18" s="5">
        <f t="shared" si="0"/>
        <v>-8.413777270101358E-2</v>
      </c>
      <c r="L18" s="5">
        <f t="shared" si="4"/>
        <v>8.413777270101358E-2</v>
      </c>
    </row>
    <row r="19" spans="2:12" x14ac:dyDescent="0.25">
      <c r="B19" s="54">
        <v>17</v>
      </c>
      <c r="C19" s="51" t="s">
        <v>12</v>
      </c>
      <c r="D19" s="3">
        <v>2022</v>
      </c>
      <c r="E19" s="4">
        <v>33</v>
      </c>
      <c r="F19" s="4">
        <f t="shared" si="1"/>
        <v>32.320902444875777</v>
      </c>
      <c r="G19" s="4">
        <f t="shared" si="1"/>
        <v>31.678333780203936</v>
      </c>
      <c r="H19" s="4">
        <f t="shared" si="2"/>
        <v>32.963471109547619</v>
      </c>
      <c r="I19" s="48">
        <f t="shared" si="3"/>
        <v>2.5702746586873673</v>
      </c>
      <c r="J19" s="4">
        <f t="shared" si="6"/>
        <v>32.086777738690543</v>
      </c>
      <c r="K19" s="5">
        <f t="shared" si="0"/>
        <v>2.767340185786233E-2</v>
      </c>
      <c r="L19" s="5">
        <f t="shared" si="4"/>
        <v>2.767340185786233E-2</v>
      </c>
    </row>
    <row r="20" spans="2:12" x14ac:dyDescent="0.25">
      <c r="B20" s="54">
        <v>18</v>
      </c>
      <c r="C20" s="51" t="s">
        <v>13</v>
      </c>
      <c r="D20" s="3">
        <v>2022</v>
      </c>
      <c r="E20" s="4">
        <v>37</v>
      </c>
      <c r="F20" s="4">
        <f t="shared" si="1"/>
        <v>36.064180488975154</v>
      </c>
      <c r="G20" s="4">
        <f t="shared" si="1"/>
        <v>35.187011147220915</v>
      </c>
      <c r="H20" s="4">
        <f t="shared" si="2"/>
        <v>36.941349830729393</v>
      </c>
      <c r="I20" s="48">
        <f t="shared" si="3"/>
        <v>3.5086773670169578</v>
      </c>
      <c r="J20" s="4">
        <f t="shared" si="6"/>
        <v>35.533745768234986</v>
      </c>
      <c r="K20" s="5">
        <f t="shared" si="0"/>
        <v>3.9628492750405774E-2</v>
      </c>
      <c r="L20" s="5">
        <f t="shared" si="4"/>
        <v>3.9628492750405774E-2</v>
      </c>
    </row>
    <row r="21" spans="2:12" x14ac:dyDescent="0.25">
      <c r="B21" s="54">
        <v>19</v>
      </c>
      <c r="C21" s="51" t="s">
        <v>2</v>
      </c>
      <c r="D21" s="3">
        <v>2022</v>
      </c>
      <c r="E21" s="4">
        <v>39</v>
      </c>
      <c r="F21" s="4">
        <f t="shared" ref="F21:G36" si="7">($O$2)*E21+($O$3)*F20</f>
        <v>38.412836097795036</v>
      </c>
      <c r="G21" s="4">
        <f t="shared" si="7"/>
        <v>37.767671107680215</v>
      </c>
      <c r="H21" s="4">
        <f t="shared" si="2"/>
        <v>39.058001087909858</v>
      </c>
      <c r="I21" s="48">
        <f t="shared" si="3"/>
        <v>2.5806599604592861</v>
      </c>
      <c r="J21" s="4">
        <f t="shared" si="6"/>
        <v>40.450027197746351</v>
      </c>
      <c r="K21" s="5">
        <f t="shared" si="0"/>
        <v>-3.718018455759875E-2</v>
      </c>
      <c r="L21" s="5">
        <f t="shared" si="4"/>
        <v>3.718018455759875E-2</v>
      </c>
    </row>
    <row r="22" spans="2:12" x14ac:dyDescent="0.25">
      <c r="B22" s="54">
        <v>20</v>
      </c>
      <c r="C22" s="51" t="s">
        <v>4</v>
      </c>
      <c r="D22" s="4">
        <v>2023</v>
      </c>
      <c r="E22" s="4">
        <v>35</v>
      </c>
      <c r="F22" s="4">
        <f t="shared" si="7"/>
        <v>35.682567219559004</v>
      </c>
      <c r="G22" s="4">
        <f t="shared" si="7"/>
        <v>36.099587997183249</v>
      </c>
      <c r="H22" s="4">
        <f t="shared" si="2"/>
        <v>35.26554644193476</v>
      </c>
      <c r="I22" s="48">
        <f t="shared" si="3"/>
        <v>-1.6680831104969798</v>
      </c>
      <c r="J22" s="4">
        <f t="shared" si="6"/>
        <v>41.638661048369144</v>
      </c>
      <c r="K22" s="5">
        <f t="shared" si="0"/>
        <v>-0.18967602995340413</v>
      </c>
      <c r="L22" s="5">
        <f t="shared" si="4"/>
        <v>0.18967602995340413</v>
      </c>
    </row>
    <row r="23" spans="2:12" x14ac:dyDescent="0.25">
      <c r="B23" s="54">
        <v>21</v>
      </c>
      <c r="C23" s="51" t="s">
        <v>3</v>
      </c>
      <c r="D23" s="4">
        <v>2023</v>
      </c>
      <c r="E23" s="4">
        <v>31</v>
      </c>
      <c r="F23" s="4">
        <f t="shared" si="7"/>
        <v>31.936513443911803</v>
      </c>
      <c r="G23" s="4">
        <f t="shared" si="7"/>
        <v>32.769128354566092</v>
      </c>
      <c r="H23" s="4">
        <f t="shared" si="2"/>
        <v>31.103898533257514</v>
      </c>
      <c r="I23" s="48">
        <f t="shared" si="3"/>
        <v>-3.3304596426171571</v>
      </c>
      <c r="J23" s="4">
        <f t="shared" si="6"/>
        <v>33.59746333143778</v>
      </c>
      <c r="K23" s="5">
        <f t="shared" si="0"/>
        <v>-8.3789139723799352E-2</v>
      </c>
      <c r="L23" s="5">
        <f t="shared" si="4"/>
        <v>8.3789139723799352E-2</v>
      </c>
    </row>
    <row r="24" spans="2:12" x14ac:dyDescent="0.25">
      <c r="B24" s="54">
        <v>22</v>
      </c>
      <c r="C24" s="51" t="s">
        <v>5</v>
      </c>
      <c r="D24" s="4">
        <v>2023</v>
      </c>
      <c r="E24" s="4">
        <v>29</v>
      </c>
      <c r="F24" s="4">
        <f t="shared" si="7"/>
        <v>29.587302688782366</v>
      </c>
      <c r="G24" s="4">
        <f t="shared" si="7"/>
        <v>30.223667821939113</v>
      </c>
      <c r="H24" s="4">
        <f t="shared" si="2"/>
        <v>28.950937555625618</v>
      </c>
      <c r="I24" s="48">
        <f t="shared" si="3"/>
        <v>-2.5454605326269899</v>
      </c>
      <c r="J24" s="4">
        <f t="shared" si="6"/>
        <v>27.773438890640357</v>
      </c>
      <c r="K24" s="5">
        <f t="shared" si="0"/>
        <v>4.2295210667573906E-2</v>
      </c>
      <c r="L24" s="5">
        <f t="shared" si="4"/>
        <v>4.2295210667573906E-2</v>
      </c>
    </row>
    <row r="25" spans="2:12" x14ac:dyDescent="0.25">
      <c r="B25" s="54">
        <v>23</v>
      </c>
      <c r="C25" s="51" t="s">
        <v>6</v>
      </c>
      <c r="D25" s="4">
        <v>2023</v>
      </c>
      <c r="E25" s="4">
        <v>29</v>
      </c>
      <c r="F25" s="4">
        <f t="shared" si="7"/>
        <v>29.117460537756475</v>
      </c>
      <c r="G25" s="4">
        <f t="shared" si="7"/>
        <v>29.338701994593006</v>
      </c>
      <c r="H25" s="4">
        <f t="shared" si="2"/>
        <v>28.896219080919945</v>
      </c>
      <c r="I25" s="48">
        <f t="shared" si="3"/>
        <v>-0.88496582734612161</v>
      </c>
      <c r="J25" s="4">
        <f t="shared" si="6"/>
        <v>26.405477022998628</v>
      </c>
      <c r="K25" s="5">
        <f t="shared" si="0"/>
        <v>8.9466309551771442E-2</v>
      </c>
      <c r="L25" s="5">
        <f t="shared" si="4"/>
        <v>8.9466309551771442E-2</v>
      </c>
    </row>
    <row r="26" spans="2:12" x14ac:dyDescent="0.25">
      <c r="B26" s="54">
        <v>24</v>
      </c>
      <c r="C26" s="51" t="s">
        <v>7</v>
      </c>
      <c r="D26" s="4">
        <v>2023</v>
      </c>
      <c r="E26" s="4">
        <v>27</v>
      </c>
      <c r="F26" s="4">
        <f t="shared" si="7"/>
        <v>27.423492107551297</v>
      </c>
      <c r="G26" s="4">
        <f t="shared" si="7"/>
        <v>27.80653408495964</v>
      </c>
      <c r="H26" s="4">
        <f t="shared" si="2"/>
        <v>27.040450130142954</v>
      </c>
      <c r="I26" s="48">
        <f t="shared" si="3"/>
        <v>-1.5321679096333725</v>
      </c>
      <c r="J26" s="4">
        <f t="shared" si="6"/>
        <v>28.011253253573823</v>
      </c>
      <c r="K26" s="5">
        <f t="shared" si="0"/>
        <v>-3.7453824206437898E-2</v>
      </c>
      <c r="L26" s="5">
        <f t="shared" si="4"/>
        <v>3.7453824206437898E-2</v>
      </c>
    </row>
    <row r="27" spans="2:12" x14ac:dyDescent="0.25">
      <c r="B27" s="54">
        <v>25</v>
      </c>
      <c r="C27" s="51" t="s">
        <v>8</v>
      </c>
      <c r="D27" s="4">
        <v>2023</v>
      </c>
      <c r="E27" s="4">
        <v>25</v>
      </c>
      <c r="F27" s="4">
        <f t="shared" si="7"/>
        <v>25.484698421510259</v>
      </c>
      <c r="G27" s="4">
        <f t="shared" si="7"/>
        <v>25.949065554200139</v>
      </c>
      <c r="H27" s="4">
        <f t="shared" si="2"/>
        <v>25.02033128882038</v>
      </c>
      <c r="I27" s="48">
        <f t="shared" si="3"/>
        <v>-1.8574685307595189</v>
      </c>
      <c r="J27" s="4">
        <f t="shared" si="6"/>
        <v>25.508282220509582</v>
      </c>
      <c r="K27" s="5">
        <f t="shared" si="0"/>
        <v>-2.0331288820383264E-2</v>
      </c>
      <c r="L27" s="5">
        <f t="shared" si="4"/>
        <v>2.0331288820383264E-2</v>
      </c>
    </row>
    <row r="28" spans="2:12" x14ac:dyDescent="0.25">
      <c r="B28" s="54">
        <v>26</v>
      </c>
      <c r="C28" s="51" t="s">
        <v>9</v>
      </c>
      <c r="D28" s="4">
        <v>2023</v>
      </c>
      <c r="E28" s="4">
        <v>28</v>
      </c>
      <c r="F28" s="4">
        <f t="shared" si="7"/>
        <v>27.496939684302056</v>
      </c>
      <c r="G28" s="4">
        <f t="shared" si="7"/>
        <v>27.187364858281676</v>
      </c>
      <c r="H28" s="4">
        <f t="shared" si="2"/>
        <v>27.806514510322437</v>
      </c>
      <c r="I28" s="48">
        <f t="shared" si="3"/>
        <v>1.2382993040815222</v>
      </c>
      <c r="J28" s="4">
        <f t="shared" si="6"/>
        <v>23.162862758060861</v>
      </c>
      <c r="K28" s="5">
        <f t="shared" si="0"/>
        <v>0.17275490149782641</v>
      </c>
      <c r="L28" s="5">
        <f t="shared" si="4"/>
        <v>0.17275490149782641</v>
      </c>
    </row>
    <row r="29" spans="2:12" x14ac:dyDescent="0.25">
      <c r="B29" s="54">
        <v>27</v>
      </c>
      <c r="C29" s="51" t="s">
        <v>10</v>
      </c>
      <c r="D29" s="4">
        <v>2023</v>
      </c>
      <c r="E29" s="4">
        <v>30</v>
      </c>
      <c r="F29" s="4">
        <f t="shared" si="7"/>
        <v>29.499387936860412</v>
      </c>
      <c r="G29" s="4">
        <f t="shared" si="7"/>
        <v>29.036983321144668</v>
      </c>
      <c r="H29" s="4">
        <f t="shared" si="2"/>
        <v>29.961792552576156</v>
      </c>
      <c r="I29" s="48">
        <f t="shared" si="3"/>
        <v>1.8496184628629777</v>
      </c>
      <c r="J29" s="4">
        <f t="shared" si="6"/>
        <v>29.044813814403959</v>
      </c>
      <c r="K29" s="5">
        <f t="shared" si="0"/>
        <v>3.1839539519868038E-2</v>
      </c>
      <c r="L29" s="5">
        <f t="shared" si="4"/>
        <v>3.1839539519868038E-2</v>
      </c>
    </row>
    <row r="30" spans="2:12" x14ac:dyDescent="0.25">
      <c r="B30" s="54">
        <v>28</v>
      </c>
      <c r="C30" s="51" t="s">
        <v>11</v>
      </c>
      <c r="D30" s="4">
        <v>2023</v>
      </c>
      <c r="E30" s="4">
        <v>35</v>
      </c>
      <c r="F30" s="4">
        <f t="shared" si="7"/>
        <v>33.899877587372082</v>
      </c>
      <c r="G30" s="4">
        <f t="shared" si="7"/>
        <v>32.927298734126602</v>
      </c>
      <c r="H30" s="4">
        <f t="shared" si="2"/>
        <v>34.872456440617562</v>
      </c>
      <c r="I30" s="48">
        <f t="shared" si="3"/>
        <v>3.89031541298192</v>
      </c>
      <c r="J30" s="4">
        <f t="shared" si="6"/>
        <v>31.811411015439134</v>
      </c>
      <c r="K30" s="5">
        <f t="shared" si="0"/>
        <v>9.1102542416024737E-2</v>
      </c>
      <c r="L30" s="5">
        <f t="shared" si="4"/>
        <v>9.1102542416024737E-2</v>
      </c>
    </row>
    <row r="31" spans="2:12" x14ac:dyDescent="0.25">
      <c r="B31" s="54">
        <v>29</v>
      </c>
      <c r="C31" s="51" t="s">
        <v>12</v>
      </c>
      <c r="D31" s="4">
        <v>2023</v>
      </c>
      <c r="E31" s="4">
        <v>39</v>
      </c>
      <c r="F31" s="4">
        <f t="shared" si="7"/>
        <v>37.979975517474422</v>
      </c>
      <c r="G31" s="4">
        <f t="shared" si="7"/>
        <v>36.969440160804858</v>
      </c>
      <c r="H31" s="4">
        <f t="shared" si="2"/>
        <v>38.990510874143986</v>
      </c>
      <c r="I31" s="48">
        <f t="shared" si="3"/>
        <v>4.0421414266782563</v>
      </c>
      <c r="J31" s="4">
        <f t="shared" si="6"/>
        <v>38.762771853599482</v>
      </c>
      <c r="K31" s="5">
        <f t="shared" si="0"/>
        <v>6.0827729846286765E-3</v>
      </c>
      <c r="L31" s="5">
        <f t="shared" si="4"/>
        <v>6.0827729846286765E-3</v>
      </c>
    </row>
    <row r="32" spans="2:12" x14ac:dyDescent="0.25">
      <c r="B32" s="54">
        <v>30</v>
      </c>
      <c r="C32" s="51" t="s">
        <v>13</v>
      </c>
      <c r="D32" s="4">
        <v>2024</v>
      </c>
      <c r="E32" s="4">
        <v>48</v>
      </c>
      <c r="F32" s="4">
        <f t="shared" si="7"/>
        <v>45.995995103494892</v>
      </c>
      <c r="G32" s="4">
        <f t="shared" si="7"/>
        <v>44.190684114956888</v>
      </c>
      <c r="H32" s="4">
        <f t="shared" si="2"/>
        <v>47.801306092032895</v>
      </c>
      <c r="I32" s="48">
        <f t="shared" si="3"/>
        <v>7.2212439541520155</v>
      </c>
      <c r="J32" s="4">
        <f t="shared" si="6"/>
        <v>43.032652300822242</v>
      </c>
      <c r="K32" s="5">
        <f t="shared" si="0"/>
        <v>0.10348641039953661</v>
      </c>
      <c r="L32" s="5">
        <f t="shared" si="4"/>
        <v>0.10348641039953661</v>
      </c>
    </row>
    <row r="33" spans="2:15" x14ac:dyDescent="0.25">
      <c r="B33" s="54">
        <v>31</v>
      </c>
      <c r="C33" s="51" t="s">
        <v>2</v>
      </c>
      <c r="D33" s="4">
        <v>2024</v>
      </c>
      <c r="E33" s="4">
        <v>52</v>
      </c>
      <c r="F33" s="4">
        <f t="shared" si="7"/>
        <v>50.799199020698978</v>
      </c>
      <c r="G33" s="4">
        <f t="shared" si="7"/>
        <v>49.477496039550566</v>
      </c>
      <c r="H33" s="4">
        <f t="shared" si="2"/>
        <v>52.120902001847391</v>
      </c>
      <c r="I33" s="48">
        <f t="shared" si="3"/>
        <v>5.2868119245936498</v>
      </c>
      <c r="J33" s="4">
        <f t="shared" si="6"/>
        <v>55.022550046184911</v>
      </c>
      <c r="K33" s="5">
        <f t="shared" si="0"/>
        <v>-5.8125962426632899E-2</v>
      </c>
      <c r="L33" s="5">
        <f t="shared" si="4"/>
        <v>5.8125962426632899E-2</v>
      </c>
    </row>
    <row r="34" spans="2:15" x14ac:dyDescent="0.25">
      <c r="B34" s="54">
        <v>32</v>
      </c>
      <c r="C34" s="51" t="s">
        <v>4</v>
      </c>
      <c r="D34" s="4">
        <v>2024</v>
      </c>
      <c r="E34" s="4">
        <v>47</v>
      </c>
      <c r="F34" s="4">
        <f t="shared" si="7"/>
        <v>47.759839804139801</v>
      </c>
      <c r="G34" s="4">
        <f t="shared" si="7"/>
        <v>48.103371051221956</v>
      </c>
      <c r="H34" s="4">
        <f t="shared" si="2"/>
        <v>47.416308557057647</v>
      </c>
      <c r="I34" s="48">
        <f t="shared" si="3"/>
        <v>-1.3741249883286173</v>
      </c>
      <c r="J34" s="4">
        <f t="shared" si="6"/>
        <v>57.407713926441041</v>
      </c>
      <c r="K34" s="5">
        <f t="shared" si="0"/>
        <v>-0.22144072183917107</v>
      </c>
      <c r="L34" s="5">
        <f t="shared" si="4"/>
        <v>0.22144072183917107</v>
      </c>
    </row>
    <row r="35" spans="2:15" x14ac:dyDescent="0.25">
      <c r="B35" s="54">
        <v>33</v>
      </c>
      <c r="C35" s="51" t="s">
        <v>3</v>
      </c>
      <c r="D35" s="4">
        <v>2024</v>
      </c>
      <c r="E35" s="4">
        <v>40</v>
      </c>
      <c r="F35" s="4">
        <f t="shared" si="7"/>
        <v>41.551967960827959</v>
      </c>
      <c r="G35" s="4">
        <f t="shared" si="7"/>
        <v>42.862248578906758</v>
      </c>
      <c r="H35" s="4">
        <f t="shared" si="2"/>
        <v>40.241687342749159</v>
      </c>
      <c r="I35" s="48">
        <f t="shared" si="3"/>
        <v>-5.2411224723151975</v>
      </c>
      <c r="J35" s="4">
        <f t="shared" si="6"/>
        <v>46.04218356872903</v>
      </c>
      <c r="K35" s="5">
        <f t="shared" si="0"/>
        <v>-0.15105458921822573</v>
      </c>
      <c r="L35" s="5">
        <f t="shared" si="4"/>
        <v>0.15105458921822573</v>
      </c>
    </row>
    <row r="36" spans="2:15" x14ac:dyDescent="0.25">
      <c r="B36" s="54">
        <v>34</v>
      </c>
      <c r="C36" s="51" t="s">
        <v>5</v>
      </c>
      <c r="D36" s="4">
        <v>2024</v>
      </c>
      <c r="E36" s="4">
        <v>36</v>
      </c>
      <c r="F36" s="4">
        <f t="shared" si="7"/>
        <v>37.110393592165593</v>
      </c>
      <c r="G36" s="4">
        <f t="shared" si="7"/>
        <v>38.260764589513826</v>
      </c>
      <c r="H36" s="4">
        <f t="shared" si="2"/>
        <v>35.96002259481736</v>
      </c>
      <c r="I36" s="48">
        <f t="shared" si="3"/>
        <v>-4.601483989392932</v>
      </c>
      <c r="J36" s="4">
        <f t="shared" si="6"/>
        <v>35.000564870433962</v>
      </c>
      <c r="K36" s="5">
        <f t="shared" si="0"/>
        <v>2.7762086932389945E-2</v>
      </c>
      <c r="L36" s="5">
        <f t="shared" si="4"/>
        <v>2.7762086932389945E-2</v>
      </c>
    </row>
    <row r="37" spans="2:15" x14ac:dyDescent="0.25">
      <c r="B37" s="54">
        <v>35</v>
      </c>
      <c r="C37" s="51" t="s">
        <v>6</v>
      </c>
      <c r="D37" s="4">
        <v>2024</v>
      </c>
      <c r="E37" s="4">
        <v>35</v>
      </c>
      <c r="F37" s="4">
        <f t="shared" ref="F37:G38" si="8">($O$2)*E37+($O$3)*F36</f>
        <v>35.42207871843312</v>
      </c>
      <c r="G37" s="4">
        <f t="shared" si="8"/>
        <v>35.989815892649261</v>
      </c>
      <c r="H37" s="4">
        <f t="shared" si="2"/>
        <v>34.854341544216979</v>
      </c>
      <c r="I37" s="48">
        <f t="shared" si="3"/>
        <v>-2.2709486968645649</v>
      </c>
      <c r="J37" s="4">
        <f t="shared" si="6"/>
        <v>31.358538605424428</v>
      </c>
      <c r="K37" s="5">
        <f t="shared" si="0"/>
        <v>0.10404175413073062</v>
      </c>
      <c r="L37" s="5">
        <f t="shared" si="4"/>
        <v>0.10404175413073062</v>
      </c>
    </row>
    <row r="38" spans="2:15" x14ac:dyDescent="0.25">
      <c r="B38" s="54">
        <v>36</v>
      </c>
      <c r="C38" s="51" t="s">
        <v>7</v>
      </c>
      <c r="D38" s="4">
        <v>2024</v>
      </c>
      <c r="E38" s="4">
        <v>31</v>
      </c>
      <c r="F38" s="4">
        <f t="shared" si="8"/>
        <v>31.884415743686624</v>
      </c>
      <c r="G38" s="4">
        <f t="shared" si="8"/>
        <v>32.70549577347915</v>
      </c>
      <c r="H38" s="4">
        <f t="shared" si="2"/>
        <v>31.063335713894098</v>
      </c>
      <c r="I38" s="48">
        <f t="shared" si="3"/>
        <v>-3.2843201191701041</v>
      </c>
      <c r="J38" s="4">
        <f t="shared" si="6"/>
        <v>32.583392847352414</v>
      </c>
      <c r="K38" s="5">
        <f t="shared" si="0"/>
        <v>-5.1077188624271415E-2</v>
      </c>
      <c r="L38" s="5">
        <f t="shared" si="4"/>
        <v>5.1077188624271415E-2</v>
      </c>
    </row>
    <row r="39" spans="2:15" x14ac:dyDescent="0.25">
      <c r="B39" s="55">
        <v>37</v>
      </c>
      <c r="C39" s="52" t="s">
        <v>8</v>
      </c>
      <c r="D39" s="7">
        <v>2024</v>
      </c>
      <c r="E39" s="6"/>
      <c r="F39" s="7"/>
      <c r="G39" s="7"/>
      <c r="H39" s="7"/>
      <c r="I39" s="49"/>
      <c r="J39" s="7">
        <f>H38+I38</f>
        <v>27.779015594723994</v>
      </c>
      <c r="K39" s="6" t="s">
        <v>21</v>
      </c>
      <c r="L39" s="10">
        <f>100/36*SUM(L4:L38)</f>
        <v>7.7208770612165267</v>
      </c>
    </row>
    <row r="42" spans="2:15" x14ac:dyDescent="0.25">
      <c r="B42" s="53" t="s">
        <v>65</v>
      </c>
      <c r="C42" s="11" t="s">
        <v>0</v>
      </c>
      <c r="D42" s="11" t="s">
        <v>1</v>
      </c>
      <c r="E42" s="11" t="s">
        <v>22</v>
      </c>
      <c r="F42" s="45" t="s">
        <v>14</v>
      </c>
      <c r="G42" s="45" t="s">
        <v>15</v>
      </c>
      <c r="H42" s="45" t="s">
        <v>16</v>
      </c>
      <c r="I42" s="47" t="s">
        <v>17</v>
      </c>
      <c r="J42" s="45" t="s">
        <v>18</v>
      </c>
      <c r="K42" s="11" t="s">
        <v>19</v>
      </c>
      <c r="L42" s="11" t="s">
        <v>20</v>
      </c>
      <c r="O42" s="12">
        <v>0.1</v>
      </c>
    </row>
    <row r="43" spans="2:15" x14ac:dyDescent="0.25">
      <c r="B43" s="54">
        <v>1</v>
      </c>
      <c r="C43" s="3" t="s">
        <v>8</v>
      </c>
      <c r="D43" s="3">
        <v>2021</v>
      </c>
      <c r="E43" s="3">
        <v>20</v>
      </c>
      <c r="F43" s="4">
        <v>20</v>
      </c>
      <c r="G43" s="4">
        <v>20</v>
      </c>
      <c r="H43" s="4">
        <v>20</v>
      </c>
      <c r="I43" s="4">
        <v>0</v>
      </c>
      <c r="J43" s="4"/>
      <c r="K43" s="4"/>
      <c r="L43" s="4"/>
      <c r="O43" s="12">
        <v>0.9</v>
      </c>
    </row>
    <row r="44" spans="2:15" x14ac:dyDescent="0.25">
      <c r="B44" s="54">
        <v>2</v>
      </c>
      <c r="C44" s="3" t="s">
        <v>9</v>
      </c>
      <c r="D44" s="3">
        <v>2021</v>
      </c>
      <c r="E44" s="3">
        <v>25</v>
      </c>
      <c r="F44" s="4">
        <f>($O$42)*E44+($O$43)*F43</f>
        <v>20.5</v>
      </c>
      <c r="G44" s="4">
        <f>($O$42)*F44+($O$43)*G43</f>
        <v>20.05</v>
      </c>
      <c r="H44" s="4">
        <f>2*(F44)-(G44)</f>
        <v>20.95</v>
      </c>
      <c r="I44" s="48">
        <f>$O$42/$O$43*(F44-G44)</f>
        <v>4.9999999999999926E-2</v>
      </c>
      <c r="J44" s="4">
        <f>H43+I43</f>
        <v>20</v>
      </c>
      <c r="K44" s="5">
        <f>(E44-J44)/E44</f>
        <v>0.2</v>
      </c>
      <c r="L44" s="5">
        <f t="shared" ref="L44:L78" si="9">ABS(K44)</f>
        <v>0.2</v>
      </c>
    </row>
    <row r="45" spans="2:15" x14ac:dyDescent="0.25">
      <c r="B45" s="54">
        <v>3</v>
      </c>
      <c r="C45" s="3" t="s">
        <v>10</v>
      </c>
      <c r="D45" s="3">
        <v>2021</v>
      </c>
      <c r="E45" s="3">
        <v>27</v>
      </c>
      <c r="F45" s="4">
        <f t="shared" ref="F45:G45" si="10">($O$42)*E45+($O$43)*F44</f>
        <v>21.15</v>
      </c>
      <c r="G45" s="4">
        <f t="shared" si="10"/>
        <v>20.16</v>
      </c>
      <c r="H45" s="4">
        <f t="shared" ref="H45:H78" si="11">2*(F45)-(G45)</f>
        <v>22.139999999999997</v>
      </c>
      <c r="I45" s="48">
        <f t="shared" ref="I45:I78" si="12">$O$42/$O$43*(F45-G45)</f>
        <v>0.10999999999999983</v>
      </c>
      <c r="J45" s="4">
        <f>H44+I44</f>
        <v>21</v>
      </c>
      <c r="K45" s="5">
        <f>(E45-J45)/E45</f>
        <v>0.22222222222222221</v>
      </c>
      <c r="L45" s="5">
        <f t="shared" si="9"/>
        <v>0.22222222222222221</v>
      </c>
    </row>
    <row r="46" spans="2:15" x14ac:dyDescent="0.25">
      <c r="B46" s="54">
        <v>4</v>
      </c>
      <c r="C46" s="3" t="s">
        <v>11</v>
      </c>
      <c r="D46" s="3">
        <v>2021</v>
      </c>
      <c r="E46" s="3">
        <v>30</v>
      </c>
      <c r="F46" s="4">
        <f t="shared" ref="F46:G46" si="13">($O$42)*E46+($O$43)*F45</f>
        <v>22.035</v>
      </c>
      <c r="G46" s="4">
        <f t="shared" si="13"/>
        <v>20.347500000000004</v>
      </c>
      <c r="H46" s="4">
        <f t="shared" si="11"/>
        <v>23.722499999999997</v>
      </c>
      <c r="I46" s="48">
        <f t="shared" si="12"/>
        <v>0.18749999999999961</v>
      </c>
      <c r="J46" s="4">
        <f t="shared" ref="J46:J50" si="14">H45+I45</f>
        <v>22.249999999999996</v>
      </c>
      <c r="K46" s="5">
        <f t="shared" ref="K46:K78" si="15">(E46-J46)/E46</f>
        <v>0.25833333333333347</v>
      </c>
      <c r="L46" s="5">
        <f t="shared" si="9"/>
        <v>0.25833333333333347</v>
      </c>
    </row>
    <row r="47" spans="2:15" x14ac:dyDescent="0.25">
      <c r="B47" s="54">
        <v>5</v>
      </c>
      <c r="C47" s="3" t="s">
        <v>12</v>
      </c>
      <c r="D47" s="3">
        <v>2021</v>
      </c>
      <c r="E47" s="3">
        <v>32</v>
      </c>
      <c r="F47" s="4">
        <f t="shared" ref="F47:G47" si="16">($O$42)*E47+($O$43)*F46</f>
        <v>23.031500000000001</v>
      </c>
      <c r="G47" s="4">
        <f t="shared" si="16"/>
        <v>20.615900000000003</v>
      </c>
      <c r="H47" s="4">
        <f t="shared" si="11"/>
        <v>25.447099999999999</v>
      </c>
      <c r="I47" s="48">
        <f t="shared" si="12"/>
        <v>0.26839999999999975</v>
      </c>
      <c r="J47" s="4">
        <f t="shared" si="14"/>
        <v>23.909999999999997</v>
      </c>
      <c r="K47" s="5">
        <f t="shared" si="15"/>
        <v>0.25281250000000011</v>
      </c>
      <c r="L47" s="5">
        <f t="shared" si="9"/>
        <v>0.25281250000000011</v>
      </c>
    </row>
    <row r="48" spans="2:15" x14ac:dyDescent="0.25">
      <c r="B48" s="54">
        <v>6</v>
      </c>
      <c r="C48" s="3" t="s">
        <v>13</v>
      </c>
      <c r="D48" s="3">
        <v>2021</v>
      </c>
      <c r="E48" s="3">
        <v>33</v>
      </c>
      <c r="F48" s="4">
        <f t="shared" ref="F48:G48" si="17">($O$42)*E48+($O$43)*F47</f>
        <v>24.028350000000003</v>
      </c>
      <c r="G48" s="4">
        <f t="shared" si="17"/>
        <v>20.957145000000004</v>
      </c>
      <c r="H48" s="4">
        <f t="shared" si="11"/>
        <v>27.099555000000002</v>
      </c>
      <c r="I48" s="48">
        <f t="shared" si="12"/>
        <v>0.34124499999999991</v>
      </c>
      <c r="J48" s="4">
        <f t="shared" si="14"/>
        <v>25.715499999999999</v>
      </c>
      <c r="K48" s="5">
        <f t="shared" si="15"/>
        <v>0.2207424242424243</v>
      </c>
      <c r="L48" s="5">
        <f t="shared" si="9"/>
        <v>0.2207424242424243</v>
      </c>
    </row>
    <row r="49" spans="2:12" x14ac:dyDescent="0.25">
      <c r="B49" s="54">
        <v>7</v>
      </c>
      <c r="C49" s="3" t="s">
        <v>2</v>
      </c>
      <c r="D49" s="3">
        <v>2021</v>
      </c>
      <c r="E49" s="3">
        <v>33</v>
      </c>
      <c r="F49" s="4">
        <f t="shared" ref="F49:G49" si="18">($O$42)*E49+($O$43)*F48</f>
        <v>24.925515000000004</v>
      </c>
      <c r="G49" s="4">
        <f t="shared" si="18"/>
        <v>21.353982000000006</v>
      </c>
      <c r="H49" s="4">
        <f t="shared" si="11"/>
        <v>28.497048000000003</v>
      </c>
      <c r="I49" s="48">
        <f t="shared" si="12"/>
        <v>0.39683699999999988</v>
      </c>
      <c r="J49" s="4">
        <f t="shared" si="14"/>
        <v>27.440800000000003</v>
      </c>
      <c r="K49" s="5">
        <f t="shared" si="15"/>
        <v>0.16846060606060598</v>
      </c>
      <c r="L49" s="5">
        <f t="shared" si="9"/>
        <v>0.16846060606060598</v>
      </c>
    </row>
    <row r="50" spans="2:12" x14ac:dyDescent="0.25">
      <c r="B50" s="54">
        <v>8</v>
      </c>
      <c r="C50" s="3" t="s">
        <v>4</v>
      </c>
      <c r="D50" s="3">
        <v>2022</v>
      </c>
      <c r="E50" s="3">
        <v>30</v>
      </c>
      <c r="F50" s="4">
        <f t="shared" ref="F50:G50" si="19">($O$42)*E50+($O$43)*F49</f>
        <v>25.432963500000003</v>
      </c>
      <c r="G50" s="4">
        <f t="shared" si="19"/>
        <v>21.761880150000003</v>
      </c>
      <c r="H50" s="4">
        <f t="shared" si="11"/>
        <v>29.104046850000003</v>
      </c>
      <c r="I50" s="48">
        <f t="shared" si="12"/>
        <v>0.40789815000000001</v>
      </c>
      <c r="J50" s="4">
        <f t="shared" si="14"/>
        <v>28.893885000000004</v>
      </c>
      <c r="K50" s="5">
        <f t="shared" si="15"/>
        <v>3.6870499999999848E-2</v>
      </c>
      <c r="L50" s="5">
        <f t="shared" si="9"/>
        <v>3.6870499999999848E-2</v>
      </c>
    </row>
    <row r="51" spans="2:12" x14ac:dyDescent="0.25">
      <c r="B51" s="54">
        <v>9</v>
      </c>
      <c r="C51" s="3" t="s">
        <v>3</v>
      </c>
      <c r="D51" s="3">
        <v>2022</v>
      </c>
      <c r="E51" s="3">
        <v>28</v>
      </c>
      <c r="F51" s="4">
        <f t="shared" ref="F51:G51" si="20">($O$42)*E51+($O$43)*F50</f>
        <v>25.689667150000005</v>
      </c>
      <c r="G51" s="4">
        <f t="shared" si="20"/>
        <v>22.154658850000004</v>
      </c>
      <c r="H51" s="4">
        <f t="shared" si="11"/>
        <v>29.224675450000007</v>
      </c>
      <c r="I51" s="48">
        <f t="shared" si="12"/>
        <v>0.39277870000000015</v>
      </c>
      <c r="J51" s="4">
        <f>H50+I50</f>
        <v>29.511945000000004</v>
      </c>
      <c r="K51" s="5">
        <f t="shared" si="15"/>
        <v>-5.3998035714285866E-2</v>
      </c>
      <c r="L51" s="5">
        <f t="shared" si="9"/>
        <v>5.3998035714285866E-2</v>
      </c>
    </row>
    <row r="52" spans="2:12" x14ac:dyDescent="0.25">
      <c r="B52" s="54">
        <v>10</v>
      </c>
      <c r="C52" s="3" t="s">
        <v>5</v>
      </c>
      <c r="D52" s="3">
        <v>2022</v>
      </c>
      <c r="E52" s="3">
        <v>26</v>
      </c>
      <c r="F52" s="4">
        <f t="shared" ref="F52:G52" si="21">($O$42)*E52+($O$43)*F51</f>
        <v>25.720700435000008</v>
      </c>
      <c r="G52" s="4">
        <f t="shared" si="21"/>
        <v>22.511263008500006</v>
      </c>
      <c r="H52" s="4">
        <f t="shared" si="11"/>
        <v>28.930137861500011</v>
      </c>
      <c r="I52" s="48">
        <f t="shared" si="12"/>
        <v>0.35660415850000032</v>
      </c>
      <c r="J52" s="4">
        <f t="shared" ref="J52:J79" si="22">H51+I51</f>
        <v>29.617454150000007</v>
      </c>
      <c r="K52" s="5">
        <f t="shared" si="15"/>
        <v>-0.1391328519230772</v>
      </c>
      <c r="L52" s="5">
        <f t="shared" si="9"/>
        <v>0.1391328519230772</v>
      </c>
    </row>
    <row r="53" spans="2:12" x14ac:dyDescent="0.25">
      <c r="B53" s="54">
        <v>11</v>
      </c>
      <c r="C53" s="3" t="s">
        <v>6</v>
      </c>
      <c r="D53" s="3">
        <v>2022</v>
      </c>
      <c r="E53" s="3">
        <v>26</v>
      </c>
      <c r="F53" s="4">
        <f t="shared" ref="F53:G53" si="23">($O$42)*E53+($O$43)*F52</f>
        <v>25.748630391500008</v>
      </c>
      <c r="G53" s="4">
        <f t="shared" si="23"/>
        <v>22.834999746800008</v>
      </c>
      <c r="H53" s="4">
        <f t="shared" si="11"/>
        <v>28.662261036200007</v>
      </c>
      <c r="I53" s="48">
        <f t="shared" si="12"/>
        <v>0.32373673829999999</v>
      </c>
      <c r="J53" s="4">
        <f t="shared" si="22"/>
        <v>29.286742020000013</v>
      </c>
      <c r="K53" s="5">
        <f t="shared" si="15"/>
        <v>-0.1264131546153851</v>
      </c>
      <c r="L53" s="5">
        <f t="shared" si="9"/>
        <v>0.1264131546153851</v>
      </c>
    </row>
    <row r="54" spans="2:12" x14ac:dyDescent="0.25">
      <c r="B54" s="54">
        <v>12</v>
      </c>
      <c r="C54" s="3" t="s">
        <v>7</v>
      </c>
      <c r="D54" s="3">
        <v>2022</v>
      </c>
      <c r="E54" s="3">
        <v>22</v>
      </c>
      <c r="F54" s="4">
        <f t="shared" ref="F54:G54" si="24">($O$42)*E54+($O$43)*F53</f>
        <v>25.373767352350008</v>
      </c>
      <c r="G54" s="4">
        <f t="shared" si="24"/>
        <v>23.088876507355007</v>
      </c>
      <c r="H54" s="4">
        <f t="shared" si="11"/>
        <v>27.658658197345009</v>
      </c>
      <c r="I54" s="48">
        <f t="shared" si="12"/>
        <v>0.25387676055500014</v>
      </c>
      <c r="J54" s="4">
        <f t="shared" si="22"/>
        <v>28.985997774500007</v>
      </c>
      <c r="K54" s="5">
        <f t="shared" si="15"/>
        <v>-0.31754535338636392</v>
      </c>
      <c r="L54" s="5">
        <f t="shared" si="9"/>
        <v>0.31754535338636392</v>
      </c>
    </row>
    <row r="55" spans="2:12" x14ac:dyDescent="0.25">
      <c r="B55" s="54">
        <v>13</v>
      </c>
      <c r="C55" s="3" t="s">
        <v>8</v>
      </c>
      <c r="D55" s="3">
        <v>2022</v>
      </c>
      <c r="E55" s="4">
        <v>20</v>
      </c>
      <c r="F55" s="4">
        <f t="shared" ref="F55:G55" si="25">($O$42)*E55+($O$43)*F54</f>
        <v>24.836390617115008</v>
      </c>
      <c r="G55" s="4">
        <f t="shared" si="25"/>
        <v>23.263627918331007</v>
      </c>
      <c r="H55" s="4">
        <f t="shared" si="11"/>
        <v>26.409153315899008</v>
      </c>
      <c r="I55" s="48">
        <f t="shared" si="12"/>
        <v>0.17475141097600005</v>
      </c>
      <c r="J55" s="4">
        <f t="shared" si="22"/>
        <v>27.912534957900007</v>
      </c>
      <c r="K55" s="5">
        <f t="shared" si="15"/>
        <v>-0.39562674789500035</v>
      </c>
      <c r="L55" s="5">
        <f t="shared" si="9"/>
        <v>0.39562674789500035</v>
      </c>
    </row>
    <row r="56" spans="2:12" x14ac:dyDescent="0.25">
      <c r="B56" s="54">
        <v>14</v>
      </c>
      <c r="C56" s="3" t="s">
        <v>9</v>
      </c>
      <c r="D56" s="3">
        <v>2022</v>
      </c>
      <c r="E56" s="4">
        <v>25</v>
      </c>
      <c r="F56" s="4">
        <f t="shared" ref="F56:G56" si="26">($O$42)*E56+($O$43)*F55</f>
        <v>24.852751555403508</v>
      </c>
      <c r="G56" s="4">
        <f t="shared" si="26"/>
        <v>23.422540282038256</v>
      </c>
      <c r="H56" s="4">
        <f t="shared" si="11"/>
        <v>26.28296282876876</v>
      </c>
      <c r="I56" s="48">
        <f t="shared" si="12"/>
        <v>0.15891236370725026</v>
      </c>
      <c r="J56" s="4">
        <f t="shared" si="22"/>
        <v>26.583904726875009</v>
      </c>
      <c r="K56" s="5">
        <f t="shared" si="15"/>
        <v>-6.3356189075000346E-2</v>
      </c>
      <c r="L56" s="5">
        <f t="shared" si="9"/>
        <v>6.3356189075000346E-2</v>
      </c>
    </row>
    <row r="57" spans="2:12" x14ac:dyDescent="0.25">
      <c r="B57" s="54">
        <v>15</v>
      </c>
      <c r="C57" s="3" t="s">
        <v>10</v>
      </c>
      <c r="D57" s="3">
        <v>2022</v>
      </c>
      <c r="E57" s="4">
        <v>29</v>
      </c>
      <c r="F57" s="4">
        <f t="shared" ref="F57:G57" si="27">($O$42)*E57+($O$43)*F56</f>
        <v>25.267476399863156</v>
      </c>
      <c r="G57" s="4">
        <f t="shared" si="27"/>
        <v>23.607033893820745</v>
      </c>
      <c r="H57" s="4">
        <f t="shared" si="11"/>
        <v>26.927918905905567</v>
      </c>
      <c r="I57" s="48">
        <f t="shared" si="12"/>
        <v>0.18449361178249016</v>
      </c>
      <c r="J57" s="4">
        <f t="shared" si="22"/>
        <v>26.441875192476012</v>
      </c>
      <c r="K57" s="5">
        <f t="shared" si="15"/>
        <v>8.8211200259447869E-2</v>
      </c>
      <c r="L57" s="5">
        <f t="shared" si="9"/>
        <v>8.8211200259447869E-2</v>
      </c>
    </row>
    <row r="58" spans="2:12" x14ac:dyDescent="0.25">
      <c r="B58" s="54">
        <v>16</v>
      </c>
      <c r="C58" s="3" t="s">
        <v>11</v>
      </c>
      <c r="D58" s="3">
        <v>2022</v>
      </c>
      <c r="E58" s="4">
        <v>30</v>
      </c>
      <c r="F58" s="4">
        <f t="shared" ref="F58:G58" si="28">($O$42)*E58+($O$43)*F57</f>
        <v>25.740728759876841</v>
      </c>
      <c r="G58" s="4">
        <f t="shared" si="28"/>
        <v>23.820403380426356</v>
      </c>
      <c r="H58" s="4">
        <f t="shared" si="11"/>
        <v>27.661054139327327</v>
      </c>
      <c r="I58" s="48">
        <f t="shared" si="12"/>
        <v>0.2133694866056095</v>
      </c>
      <c r="J58" s="4">
        <f t="shared" si="22"/>
        <v>27.112412517688057</v>
      </c>
      <c r="K58" s="5">
        <f t="shared" si="15"/>
        <v>9.6252916077064779E-2</v>
      </c>
      <c r="L58" s="5">
        <f t="shared" si="9"/>
        <v>9.6252916077064779E-2</v>
      </c>
    </row>
    <row r="59" spans="2:12" x14ac:dyDescent="0.25">
      <c r="B59" s="54">
        <v>17</v>
      </c>
      <c r="C59" s="3" t="s">
        <v>12</v>
      </c>
      <c r="D59" s="3">
        <v>2022</v>
      </c>
      <c r="E59" s="4">
        <v>33</v>
      </c>
      <c r="F59" s="4">
        <f t="shared" ref="F59:G59" si="29">($O$42)*E59+($O$43)*F58</f>
        <v>26.466655883889157</v>
      </c>
      <c r="G59" s="4">
        <f t="shared" si="29"/>
        <v>24.085028630772637</v>
      </c>
      <c r="H59" s="4">
        <f t="shared" si="11"/>
        <v>28.848283137005676</v>
      </c>
      <c r="I59" s="48">
        <f t="shared" si="12"/>
        <v>0.26462525034627998</v>
      </c>
      <c r="J59" s="4">
        <f t="shared" si="22"/>
        <v>27.874423625932938</v>
      </c>
      <c r="K59" s="5">
        <f t="shared" si="15"/>
        <v>0.15532049618385038</v>
      </c>
      <c r="L59" s="5">
        <f t="shared" si="9"/>
        <v>0.15532049618385038</v>
      </c>
    </row>
    <row r="60" spans="2:12" x14ac:dyDescent="0.25">
      <c r="B60" s="54">
        <v>18</v>
      </c>
      <c r="C60" s="3" t="s">
        <v>13</v>
      </c>
      <c r="D60" s="3">
        <v>2022</v>
      </c>
      <c r="E60" s="4">
        <v>37</v>
      </c>
      <c r="F60" s="4">
        <f t="shared" ref="F60:G60" si="30">($O$42)*E60+($O$43)*F59</f>
        <v>27.519990295500239</v>
      </c>
      <c r="G60" s="4">
        <f t="shared" si="30"/>
        <v>24.428524797245398</v>
      </c>
      <c r="H60" s="4">
        <f t="shared" si="11"/>
        <v>30.611455793755081</v>
      </c>
      <c r="I60" s="48">
        <f t="shared" si="12"/>
        <v>0.34349616647276016</v>
      </c>
      <c r="J60" s="4">
        <f t="shared" si="22"/>
        <v>29.112908387351958</v>
      </c>
      <c r="K60" s="5">
        <f t="shared" si="15"/>
        <v>0.21316463817967682</v>
      </c>
      <c r="L60" s="5">
        <f t="shared" si="9"/>
        <v>0.21316463817967682</v>
      </c>
    </row>
    <row r="61" spans="2:12" x14ac:dyDescent="0.25">
      <c r="B61" s="54">
        <v>19</v>
      </c>
      <c r="C61" s="3" t="s">
        <v>2</v>
      </c>
      <c r="D61" s="3">
        <v>2022</v>
      </c>
      <c r="E61" s="4">
        <v>39</v>
      </c>
      <c r="F61" s="4">
        <f t="shared" ref="F61:G61" si="31">($O$42)*E61+($O$43)*F60</f>
        <v>28.667991265950214</v>
      </c>
      <c r="G61" s="4">
        <f t="shared" si="31"/>
        <v>24.852471444115881</v>
      </c>
      <c r="H61" s="4">
        <f t="shared" si="11"/>
        <v>32.483511087784549</v>
      </c>
      <c r="I61" s="48">
        <f t="shared" si="12"/>
        <v>0.42394664687048139</v>
      </c>
      <c r="J61" s="4">
        <f t="shared" si="22"/>
        <v>30.954951960227842</v>
      </c>
      <c r="K61" s="5">
        <f t="shared" si="15"/>
        <v>0.20628328307108099</v>
      </c>
      <c r="L61" s="5">
        <f t="shared" si="9"/>
        <v>0.20628328307108099</v>
      </c>
    </row>
    <row r="62" spans="2:12" x14ac:dyDescent="0.25">
      <c r="B62" s="54">
        <v>20</v>
      </c>
      <c r="C62" s="3" t="s">
        <v>4</v>
      </c>
      <c r="D62" s="4">
        <v>2023</v>
      </c>
      <c r="E62" s="4">
        <v>35</v>
      </c>
      <c r="F62" s="4">
        <f t="shared" ref="F62:G62" si="32">($O$42)*E62+($O$43)*F61</f>
        <v>29.301192139355194</v>
      </c>
      <c r="G62" s="4">
        <f t="shared" si="32"/>
        <v>25.297343513639813</v>
      </c>
      <c r="H62" s="4">
        <f t="shared" si="11"/>
        <v>33.305040765070572</v>
      </c>
      <c r="I62" s="48">
        <f t="shared" si="12"/>
        <v>0.44487206952393127</v>
      </c>
      <c r="J62" s="4">
        <f t="shared" si="22"/>
        <v>32.907457734655033</v>
      </c>
      <c r="K62" s="5">
        <f t="shared" si="15"/>
        <v>5.9786921866999063E-2</v>
      </c>
      <c r="L62" s="5">
        <f t="shared" si="9"/>
        <v>5.9786921866999063E-2</v>
      </c>
    </row>
    <row r="63" spans="2:12" x14ac:dyDescent="0.25">
      <c r="B63" s="54">
        <v>21</v>
      </c>
      <c r="C63" s="3" t="s">
        <v>3</v>
      </c>
      <c r="D63" s="4">
        <v>2023</v>
      </c>
      <c r="E63" s="4">
        <v>31</v>
      </c>
      <c r="F63" s="4">
        <f t="shared" ref="F63:G63" si="33">($O$42)*E63+($O$43)*F62</f>
        <v>29.471072925419676</v>
      </c>
      <c r="G63" s="4">
        <f t="shared" si="33"/>
        <v>25.7147164548178</v>
      </c>
      <c r="H63" s="4">
        <f t="shared" si="11"/>
        <v>33.227429396021549</v>
      </c>
      <c r="I63" s="48">
        <f t="shared" si="12"/>
        <v>0.41737294117798623</v>
      </c>
      <c r="J63" s="4">
        <f t="shared" si="22"/>
        <v>33.749912834594504</v>
      </c>
      <c r="K63" s="5">
        <f t="shared" si="15"/>
        <v>-8.8706865632080772E-2</v>
      </c>
      <c r="L63" s="5">
        <f t="shared" si="9"/>
        <v>8.8706865632080772E-2</v>
      </c>
    </row>
    <row r="64" spans="2:12" x14ac:dyDescent="0.25">
      <c r="B64" s="54">
        <v>22</v>
      </c>
      <c r="C64" s="3" t="s">
        <v>5</v>
      </c>
      <c r="D64" s="4">
        <v>2023</v>
      </c>
      <c r="E64" s="4">
        <v>29</v>
      </c>
      <c r="F64" s="4">
        <f t="shared" ref="F64:G64" si="34">($O$42)*E64+($O$43)*F63</f>
        <v>29.42396563287771</v>
      </c>
      <c r="G64" s="4">
        <f t="shared" si="34"/>
        <v>26.085641372623794</v>
      </c>
      <c r="H64" s="4">
        <f t="shared" si="11"/>
        <v>32.762289893131623</v>
      </c>
      <c r="I64" s="48">
        <f t="shared" si="12"/>
        <v>0.37092491780599074</v>
      </c>
      <c r="J64" s="4">
        <f t="shared" si="22"/>
        <v>33.644802337199536</v>
      </c>
      <c r="K64" s="5">
        <f t="shared" si="15"/>
        <v>-0.16016559783446677</v>
      </c>
      <c r="L64" s="5">
        <f t="shared" si="9"/>
        <v>0.16016559783446677</v>
      </c>
    </row>
    <row r="65" spans="2:12" x14ac:dyDescent="0.25">
      <c r="B65" s="54">
        <v>23</v>
      </c>
      <c r="C65" s="3" t="s">
        <v>6</v>
      </c>
      <c r="D65" s="4">
        <v>2023</v>
      </c>
      <c r="E65" s="4">
        <v>29</v>
      </c>
      <c r="F65" s="4">
        <f t="shared" ref="F65:G65" si="35">($O$42)*E65+($O$43)*F64</f>
        <v>29.381569069589943</v>
      </c>
      <c r="G65" s="4">
        <f t="shared" si="35"/>
        <v>26.415234142320408</v>
      </c>
      <c r="H65" s="4">
        <f t="shared" si="11"/>
        <v>32.347903996859479</v>
      </c>
      <c r="I65" s="48">
        <f t="shared" si="12"/>
        <v>0.32959276969661511</v>
      </c>
      <c r="J65" s="4">
        <f t="shared" si="22"/>
        <v>33.133214810937616</v>
      </c>
      <c r="K65" s="5">
        <f t="shared" si="15"/>
        <v>-0.14252464865302125</v>
      </c>
      <c r="L65" s="5">
        <f t="shared" si="9"/>
        <v>0.14252464865302125</v>
      </c>
    </row>
    <row r="66" spans="2:12" x14ac:dyDescent="0.25">
      <c r="B66" s="54">
        <v>24</v>
      </c>
      <c r="C66" s="3" t="s">
        <v>7</v>
      </c>
      <c r="D66" s="4">
        <v>2023</v>
      </c>
      <c r="E66" s="4">
        <v>27</v>
      </c>
      <c r="F66" s="4">
        <f t="shared" ref="F66:G66" si="36">($O$42)*E66+($O$43)*F65</f>
        <v>29.143412162630948</v>
      </c>
      <c r="G66" s="4">
        <f t="shared" si="36"/>
        <v>26.688051944351464</v>
      </c>
      <c r="H66" s="4">
        <f t="shared" si="11"/>
        <v>31.598772380910432</v>
      </c>
      <c r="I66" s="48">
        <f t="shared" si="12"/>
        <v>0.27281780203105382</v>
      </c>
      <c r="J66" s="4">
        <f t="shared" si="22"/>
        <v>32.677496766556096</v>
      </c>
      <c r="K66" s="5">
        <f t="shared" si="15"/>
        <v>-0.21027765802059617</v>
      </c>
      <c r="L66" s="5">
        <f t="shared" si="9"/>
        <v>0.21027765802059617</v>
      </c>
    </row>
    <row r="67" spans="2:12" x14ac:dyDescent="0.25">
      <c r="B67" s="54">
        <v>25</v>
      </c>
      <c r="C67" s="3" t="s">
        <v>8</v>
      </c>
      <c r="D67" s="4">
        <v>2023</v>
      </c>
      <c r="E67" s="4">
        <v>25</v>
      </c>
      <c r="F67" s="4">
        <f t="shared" ref="F67:G67" si="37">($O$42)*E67+($O$43)*F66</f>
        <v>28.729070946367855</v>
      </c>
      <c r="G67" s="4">
        <f t="shared" si="37"/>
        <v>26.892153844553107</v>
      </c>
      <c r="H67" s="4">
        <f t="shared" si="11"/>
        <v>30.565988048182604</v>
      </c>
      <c r="I67" s="48">
        <f t="shared" si="12"/>
        <v>0.20410190020163871</v>
      </c>
      <c r="J67" s="4">
        <f t="shared" si="22"/>
        <v>31.871590182941485</v>
      </c>
      <c r="K67" s="5">
        <f t="shared" si="15"/>
        <v>-0.27486360731765941</v>
      </c>
      <c r="L67" s="5">
        <f t="shared" si="9"/>
        <v>0.27486360731765941</v>
      </c>
    </row>
    <row r="68" spans="2:12" x14ac:dyDescent="0.25">
      <c r="B68" s="54">
        <v>26</v>
      </c>
      <c r="C68" s="3" t="s">
        <v>9</v>
      </c>
      <c r="D68" s="4">
        <v>2023</v>
      </c>
      <c r="E68" s="4">
        <v>28</v>
      </c>
      <c r="F68" s="4">
        <f t="shared" ref="F68:G68" si="38">($O$42)*E68+($O$43)*F67</f>
        <v>28.656163851731073</v>
      </c>
      <c r="G68" s="4">
        <f t="shared" si="38"/>
        <v>27.068554845270906</v>
      </c>
      <c r="H68" s="4">
        <f t="shared" si="11"/>
        <v>30.243772858191239</v>
      </c>
      <c r="I68" s="48">
        <f t="shared" si="12"/>
        <v>0.17640100071779627</v>
      </c>
      <c r="J68" s="4">
        <f t="shared" si="22"/>
        <v>30.770089948384243</v>
      </c>
      <c r="K68" s="5">
        <f t="shared" si="15"/>
        <v>-9.8931783870865805E-2</v>
      </c>
      <c r="L68" s="5">
        <f t="shared" si="9"/>
        <v>9.8931783870865805E-2</v>
      </c>
    </row>
    <row r="69" spans="2:12" x14ac:dyDescent="0.25">
      <c r="B69" s="54">
        <v>27</v>
      </c>
      <c r="C69" s="3" t="s">
        <v>10</v>
      </c>
      <c r="D69" s="4">
        <v>2023</v>
      </c>
      <c r="E69" s="4">
        <v>30</v>
      </c>
      <c r="F69" s="4">
        <f t="shared" ref="F69:G69" si="39">($O$42)*E69+($O$43)*F68</f>
        <v>28.790547466557967</v>
      </c>
      <c r="G69" s="4">
        <f t="shared" si="39"/>
        <v>27.240754107399614</v>
      </c>
      <c r="H69" s="4">
        <f t="shared" si="11"/>
        <v>30.340340825716321</v>
      </c>
      <c r="I69" s="48">
        <f t="shared" si="12"/>
        <v>0.17219926212870601</v>
      </c>
      <c r="J69" s="4">
        <f t="shared" si="22"/>
        <v>30.420173858909035</v>
      </c>
      <c r="K69" s="5">
        <f t="shared" si="15"/>
        <v>-1.4005795296967823E-2</v>
      </c>
      <c r="L69" s="5">
        <f t="shared" si="9"/>
        <v>1.4005795296967823E-2</v>
      </c>
    </row>
    <row r="70" spans="2:12" x14ac:dyDescent="0.25">
      <c r="B70" s="54">
        <v>28</v>
      </c>
      <c r="C70" s="3" t="s">
        <v>11</v>
      </c>
      <c r="D70" s="4">
        <v>2023</v>
      </c>
      <c r="E70" s="4">
        <v>35</v>
      </c>
      <c r="F70" s="4">
        <f t="shared" ref="F70:G70" si="40">($O$42)*E70+($O$43)*F69</f>
        <v>29.411492719902171</v>
      </c>
      <c r="G70" s="4">
        <f t="shared" si="40"/>
        <v>27.45782796864987</v>
      </c>
      <c r="H70" s="4">
        <f t="shared" si="11"/>
        <v>31.365157471154472</v>
      </c>
      <c r="I70" s="48">
        <f t="shared" si="12"/>
        <v>0.21707386125025568</v>
      </c>
      <c r="J70" s="4">
        <f t="shared" si="22"/>
        <v>30.512540087845029</v>
      </c>
      <c r="K70" s="5">
        <f t="shared" si="15"/>
        <v>0.1282131403472849</v>
      </c>
      <c r="L70" s="5">
        <f t="shared" si="9"/>
        <v>0.1282131403472849</v>
      </c>
    </row>
    <row r="71" spans="2:12" x14ac:dyDescent="0.25">
      <c r="B71" s="54">
        <v>29</v>
      </c>
      <c r="C71" s="3" t="s">
        <v>12</v>
      </c>
      <c r="D71" s="4">
        <v>2023</v>
      </c>
      <c r="E71" s="4">
        <v>39</v>
      </c>
      <c r="F71" s="4">
        <f t="shared" ref="F71:G71" si="41">($O$42)*E71+($O$43)*F70</f>
        <v>30.370343447911957</v>
      </c>
      <c r="G71" s="4">
        <f t="shared" si="41"/>
        <v>27.749079516576078</v>
      </c>
      <c r="H71" s="4">
        <f t="shared" si="11"/>
        <v>32.991607379247839</v>
      </c>
      <c r="I71" s="48">
        <f t="shared" si="12"/>
        <v>0.29125154792620872</v>
      </c>
      <c r="J71" s="4">
        <f t="shared" si="22"/>
        <v>31.582231332404728</v>
      </c>
      <c r="K71" s="5">
        <f t="shared" si="15"/>
        <v>0.19019919660500698</v>
      </c>
      <c r="L71" s="5">
        <f t="shared" si="9"/>
        <v>0.19019919660500698</v>
      </c>
    </row>
    <row r="72" spans="2:12" x14ac:dyDescent="0.25">
      <c r="B72" s="54">
        <v>30</v>
      </c>
      <c r="C72" s="3" t="s">
        <v>13</v>
      </c>
      <c r="D72" s="4">
        <v>2024</v>
      </c>
      <c r="E72" s="4">
        <v>48</v>
      </c>
      <c r="F72" s="4">
        <f t="shared" ref="F72:G72" si="42">($O$42)*E72+($O$43)*F71</f>
        <v>32.133309103120766</v>
      </c>
      <c r="G72" s="4">
        <f t="shared" si="42"/>
        <v>28.187502475230549</v>
      </c>
      <c r="H72" s="4">
        <f t="shared" si="11"/>
        <v>36.079115731010987</v>
      </c>
      <c r="I72" s="48">
        <f t="shared" si="12"/>
        <v>0.43842295865446862</v>
      </c>
      <c r="J72" s="4">
        <f t="shared" si="22"/>
        <v>33.282858927174047</v>
      </c>
      <c r="K72" s="5">
        <f t="shared" si="15"/>
        <v>0.306607105683874</v>
      </c>
      <c r="L72" s="5">
        <f t="shared" si="9"/>
        <v>0.306607105683874</v>
      </c>
    </row>
    <row r="73" spans="2:12" x14ac:dyDescent="0.25">
      <c r="B73" s="54">
        <v>31</v>
      </c>
      <c r="C73" s="3" t="s">
        <v>2</v>
      </c>
      <c r="D73" s="4">
        <v>2024</v>
      </c>
      <c r="E73" s="4">
        <v>52</v>
      </c>
      <c r="F73" s="4">
        <f t="shared" ref="F73:G73" si="43">($O$42)*E73+($O$43)*F72</f>
        <v>34.119978192808688</v>
      </c>
      <c r="G73" s="4">
        <f t="shared" si="43"/>
        <v>28.780750046988363</v>
      </c>
      <c r="H73" s="4">
        <f t="shared" si="11"/>
        <v>39.459206338629016</v>
      </c>
      <c r="I73" s="48">
        <f t="shared" si="12"/>
        <v>0.59324757175781395</v>
      </c>
      <c r="J73" s="4">
        <f t="shared" si="22"/>
        <v>36.517538689665457</v>
      </c>
      <c r="K73" s="5">
        <f t="shared" si="15"/>
        <v>0.29773964058335661</v>
      </c>
      <c r="L73" s="5">
        <f t="shared" si="9"/>
        <v>0.29773964058335661</v>
      </c>
    </row>
    <row r="74" spans="2:12" x14ac:dyDescent="0.25">
      <c r="B74" s="54">
        <v>32</v>
      </c>
      <c r="C74" s="3" t="s">
        <v>4</v>
      </c>
      <c r="D74" s="4">
        <v>2024</v>
      </c>
      <c r="E74" s="4">
        <v>47</v>
      </c>
      <c r="F74" s="4">
        <f t="shared" ref="F74:G74" si="44">($O$42)*E74+($O$43)*F73</f>
        <v>35.40798037352782</v>
      </c>
      <c r="G74" s="4">
        <f t="shared" si="44"/>
        <v>29.44347307964231</v>
      </c>
      <c r="H74" s="4">
        <f t="shared" si="11"/>
        <v>41.372487667413331</v>
      </c>
      <c r="I74" s="48">
        <f t="shared" si="12"/>
        <v>0.66272303265394572</v>
      </c>
      <c r="J74" s="4">
        <f t="shared" si="22"/>
        <v>40.052453910386831</v>
      </c>
      <c r="K74" s="5">
        <f t="shared" si="15"/>
        <v>0.14782012956623763</v>
      </c>
      <c r="L74" s="5">
        <f t="shared" si="9"/>
        <v>0.14782012956623763</v>
      </c>
    </row>
    <row r="75" spans="2:12" x14ac:dyDescent="0.25">
      <c r="B75" s="54">
        <v>33</v>
      </c>
      <c r="C75" s="3" t="s">
        <v>3</v>
      </c>
      <c r="D75" s="4">
        <v>2024</v>
      </c>
      <c r="E75" s="4">
        <v>40</v>
      </c>
      <c r="F75" s="4">
        <f t="shared" ref="F75:G75" si="45">($O$42)*E75+($O$43)*F74</f>
        <v>35.867182336175034</v>
      </c>
      <c r="G75" s="4">
        <f t="shared" si="45"/>
        <v>30.085844005295584</v>
      </c>
      <c r="H75" s="4">
        <f t="shared" si="11"/>
        <v>41.648520667054484</v>
      </c>
      <c r="I75" s="48">
        <f t="shared" si="12"/>
        <v>0.64237092565327225</v>
      </c>
      <c r="J75" s="4">
        <f t="shared" si="22"/>
        <v>42.035210700067275</v>
      </c>
      <c r="K75" s="5">
        <f t="shared" si="15"/>
        <v>-5.0880267501681863E-2</v>
      </c>
      <c r="L75" s="5">
        <f t="shared" si="9"/>
        <v>5.0880267501681863E-2</v>
      </c>
    </row>
    <row r="76" spans="2:12" x14ac:dyDescent="0.25">
      <c r="B76" s="54">
        <v>34</v>
      </c>
      <c r="C76" s="3" t="s">
        <v>5</v>
      </c>
      <c r="D76" s="4">
        <v>2024</v>
      </c>
      <c r="E76" s="4">
        <v>36</v>
      </c>
      <c r="F76" s="4">
        <f t="shared" ref="F76:G76" si="46">($O$42)*E76+($O$43)*F75</f>
        <v>35.880464102557532</v>
      </c>
      <c r="G76" s="4">
        <f t="shared" si="46"/>
        <v>30.66530601502178</v>
      </c>
      <c r="H76" s="4">
        <f t="shared" si="11"/>
        <v>41.09562219009328</v>
      </c>
      <c r="I76" s="48">
        <f t="shared" si="12"/>
        <v>0.57946200972619466</v>
      </c>
      <c r="J76" s="4">
        <f t="shared" si="22"/>
        <v>42.290891592707759</v>
      </c>
      <c r="K76" s="5">
        <f t="shared" si="15"/>
        <v>-0.17474698868632663</v>
      </c>
      <c r="L76" s="5">
        <f t="shared" si="9"/>
        <v>0.17474698868632663</v>
      </c>
    </row>
    <row r="77" spans="2:12" x14ac:dyDescent="0.25">
      <c r="B77" s="54">
        <v>35</v>
      </c>
      <c r="C77" s="3" t="s">
        <v>6</v>
      </c>
      <c r="D77" s="4">
        <v>2024</v>
      </c>
      <c r="E77" s="4">
        <v>35</v>
      </c>
      <c r="F77" s="4">
        <f t="shared" ref="F77:G77" si="47">($O$42)*E77+($O$43)*F76</f>
        <v>35.792417692301782</v>
      </c>
      <c r="G77" s="4">
        <f t="shared" si="47"/>
        <v>31.178017182749784</v>
      </c>
      <c r="H77" s="4">
        <f t="shared" si="11"/>
        <v>40.406818201853781</v>
      </c>
      <c r="I77" s="48">
        <f t="shared" si="12"/>
        <v>0.51271116772799985</v>
      </c>
      <c r="J77" s="4">
        <f t="shared" si="22"/>
        <v>41.675084199819473</v>
      </c>
      <c r="K77" s="5">
        <f t="shared" si="15"/>
        <v>-0.19071669142341352</v>
      </c>
      <c r="L77" s="5">
        <f t="shared" si="9"/>
        <v>0.19071669142341352</v>
      </c>
    </row>
    <row r="78" spans="2:12" x14ac:dyDescent="0.25">
      <c r="B78" s="54">
        <v>36</v>
      </c>
      <c r="C78" s="3" t="s">
        <v>7</v>
      </c>
      <c r="D78" s="4">
        <v>2024</v>
      </c>
      <c r="E78" s="4">
        <v>31</v>
      </c>
      <c r="F78" s="4">
        <f t="shared" ref="F78:G78" si="48">($O$42)*E78+($O$43)*F77</f>
        <v>35.313175923071604</v>
      </c>
      <c r="G78" s="4">
        <f t="shared" si="48"/>
        <v>31.591533056781966</v>
      </c>
      <c r="H78" s="4">
        <f t="shared" si="11"/>
        <v>39.034818789361239</v>
      </c>
      <c r="I78" s="48">
        <f t="shared" si="12"/>
        <v>0.4135158740321821</v>
      </c>
      <c r="J78" s="4">
        <f t="shared" si="22"/>
        <v>40.919529369581781</v>
      </c>
      <c r="K78" s="5">
        <f t="shared" si="15"/>
        <v>-0.31998481837360582</v>
      </c>
      <c r="L78" s="5">
        <f t="shared" si="9"/>
        <v>0.31998481837360582</v>
      </c>
    </row>
    <row r="79" spans="2:12" x14ac:dyDescent="0.25">
      <c r="B79" s="55">
        <v>37</v>
      </c>
      <c r="C79" s="6" t="s">
        <v>8</v>
      </c>
      <c r="D79" s="7">
        <v>2024</v>
      </c>
      <c r="E79" s="6"/>
      <c r="F79" s="7"/>
      <c r="G79" s="7"/>
      <c r="H79" s="7"/>
      <c r="I79" s="49"/>
      <c r="J79" s="7">
        <f t="shared" si="22"/>
        <v>39.448334663393425</v>
      </c>
      <c r="K79" s="6" t="s">
        <v>21</v>
      </c>
      <c r="L79" s="10">
        <f>100/36*SUM(L44:L78)</f>
        <v>16.863659193061846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2EAA-CD2B-4633-8559-EB11246A55D0}">
  <dimension ref="B3:X200"/>
  <sheetViews>
    <sheetView topLeftCell="A103" zoomScaleNormal="100" workbookViewId="0">
      <selection activeCell="D109" sqref="D109:D119"/>
    </sheetView>
  </sheetViews>
  <sheetFormatPr defaultRowHeight="15" x14ac:dyDescent="0.25"/>
  <cols>
    <col min="2" max="2" width="10.85546875" bestFit="1" customWidth="1"/>
    <col min="3" max="3" width="6.42578125" bestFit="1" customWidth="1"/>
    <col min="4" max="4" width="6.7109375" style="17" bestFit="1" customWidth="1"/>
    <col min="5" max="7" width="12" bestFit="1" customWidth="1"/>
    <col min="8" max="8" width="12.7109375" bestFit="1" customWidth="1"/>
    <col min="9" max="9" width="12" bestFit="1" customWidth="1"/>
    <col min="10" max="10" width="12.7109375" bestFit="1" customWidth="1"/>
    <col min="11" max="11" width="12" bestFit="1" customWidth="1"/>
  </cols>
  <sheetData>
    <row r="3" spans="2:14" x14ac:dyDescent="0.25">
      <c r="B3" s="18" t="s">
        <v>0</v>
      </c>
      <c r="C3" s="18" t="s">
        <v>1</v>
      </c>
      <c r="D3" s="18" t="s">
        <v>22</v>
      </c>
      <c r="E3" s="18" t="s">
        <v>14</v>
      </c>
      <c r="F3" s="18" t="s">
        <v>15</v>
      </c>
      <c r="G3" s="18" t="s">
        <v>16</v>
      </c>
      <c r="H3" s="18" t="s">
        <v>17</v>
      </c>
      <c r="I3" s="18" t="s">
        <v>18</v>
      </c>
      <c r="J3" s="18" t="s">
        <v>19</v>
      </c>
      <c r="K3" s="18" t="s">
        <v>20</v>
      </c>
      <c r="N3" s="11">
        <v>0.9</v>
      </c>
    </row>
    <row r="4" spans="2:14" x14ac:dyDescent="0.25">
      <c r="B4" s="15" t="s">
        <v>8</v>
      </c>
      <c r="C4" s="15">
        <v>2021</v>
      </c>
      <c r="D4" s="16">
        <v>20</v>
      </c>
      <c r="E4" s="19">
        <v>20</v>
      </c>
      <c r="F4" s="19">
        <v>20</v>
      </c>
      <c r="G4" s="19">
        <v>20</v>
      </c>
      <c r="H4" s="19">
        <v>0</v>
      </c>
      <c r="I4" s="19"/>
      <c r="J4" s="19"/>
      <c r="K4" s="19"/>
      <c r="N4" s="11">
        <v>0.1</v>
      </c>
    </row>
    <row r="5" spans="2:14" x14ac:dyDescent="0.25">
      <c r="B5" s="15" t="s">
        <v>9</v>
      </c>
      <c r="C5" s="15">
        <v>2022</v>
      </c>
      <c r="D5" s="16">
        <v>17</v>
      </c>
      <c r="E5" s="19">
        <f>($N$3)*D5+($N$4)*E4</f>
        <v>17.3</v>
      </c>
      <c r="F5" s="19">
        <f>($N$3)*E5+($N$4)*F4</f>
        <v>17.57</v>
      </c>
      <c r="G5" s="19">
        <f>2*(E5)-(F5)</f>
        <v>17.03</v>
      </c>
      <c r="H5" s="19">
        <f>$N$3/$N$4*(E5-F5)</f>
        <v>-2.4299999999999962</v>
      </c>
      <c r="I5" s="19">
        <f>G4+H4</f>
        <v>20</v>
      </c>
      <c r="J5" s="19">
        <f>(D5-I5)/D5</f>
        <v>-0.17647058823529413</v>
      </c>
      <c r="K5" s="19">
        <f>ABS(J5)</f>
        <v>0.17647058823529413</v>
      </c>
    </row>
    <row r="6" spans="2:14" x14ac:dyDescent="0.25">
      <c r="B6" s="15" t="s">
        <v>10</v>
      </c>
      <c r="C6" s="15">
        <v>2022</v>
      </c>
      <c r="D6" s="16">
        <v>16</v>
      </c>
      <c r="E6" s="19">
        <f t="shared" ref="E6:F6" si="0">($N$3)*D6+($N$4)*E5</f>
        <v>16.13</v>
      </c>
      <c r="F6" s="19">
        <f t="shared" si="0"/>
        <v>16.274000000000001</v>
      </c>
      <c r="G6" s="19">
        <f t="shared" ref="G6:G39" si="1">2*(E6)-(F6)</f>
        <v>15.985999999999997</v>
      </c>
      <c r="H6" s="19">
        <f>$N$3/$N$4*(E6-F6)</f>
        <v>-1.2960000000000171</v>
      </c>
      <c r="I6" s="19">
        <f>G5+H5</f>
        <v>14.600000000000005</v>
      </c>
      <c r="J6" s="19">
        <f>(D6-I6)/D6</f>
        <v>8.7499999999999689E-2</v>
      </c>
      <c r="K6" s="19">
        <f t="shared" ref="K6:K39" si="2">ABS(J6)</f>
        <v>8.7499999999999689E-2</v>
      </c>
    </row>
    <row r="7" spans="2:14" x14ac:dyDescent="0.25">
      <c r="B7" s="15" t="s">
        <v>11</v>
      </c>
      <c r="C7" s="15">
        <v>2022</v>
      </c>
      <c r="D7" s="16">
        <v>15</v>
      </c>
      <c r="E7" s="19">
        <f t="shared" ref="E7:F7" si="3">($N$3)*D7+($N$4)*E6</f>
        <v>15.113</v>
      </c>
      <c r="F7" s="19">
        <f t="shared" si="3"/>
        <v>15.229099999999999</v>
      </c>
      <c r="G7" s="19">
        <f t="shared" si="1"/>
        <v>14.9969</v>
      </c>
      <c r="H7" s="19">
        <f t="shared" ref="H7:H39" si="4">$N$3/$N$4*(E7-F7)</f>
        <v>-1.0448999999999948</v>
      </c>
      <c r="I7" s="19">
        <f t="shared" ref="I7:I10" si="5">G6+H6</f>
        <v>14.68999999999998</v>
      </c>
      <c r="J7" s="19">
        <f t="shared" ref="J7:J39" si="6">(D7-I7)/D7</f>
        <v>2.0666666666668002E-2</v>
      </c>
      <c r="K7" s="19">
        <f t="shared" si="2"/>
        <v>2.0666666666668002E-2</v>
      </c>
    </row>
    <row r="8" spans="2:14" x14ac:dyDescent="0.25">
      <c r="B8" s="15" t="s">
        <v>12</v>
      </c>
      <c r="C8" s="15">
        <v>2022</v>
      </c>
      <c r="D8" s="16">
        <v>15</v>
      </c>
      <c r="E8" s="19">
        <f t="shared" ref="E8:F8" si="7">($N$3)*D8+($N$4)*E7</f>
        <v>15.0113</v>
      </c>
      <c r="F8" s="19">
        <f t="shared" si="7"/>
        <v>15.03308</v>
      </c>
      <c r="G8" s="19">
        <f t="shared" si="1"/>
        <v>14.989520000000001</v>
      </c>
      <c r="H8" s="19">
        <f t="shared" si="4"/>
        <v>-0.1960199999999972</v>
      </c>
      <c r="I8" s="19">
        <f t="shared" si="5"/>
        <v>13.952000000000005</v>
      </c>
      <c r="J8" s="19">
        <f t="shared" si="6"/>
        <v>6.9866666666666313E-2</v>
      </c>
      <c r="K8" s="19">
        <f t="shared" si="2"/>
        <v>6.9866666666666313E-2</v>
      </c>
    </row>
    <row r="9" spans="2:14" x14ac:dyDescent="0.25">
      <c r="B9" s="15" t="s">
        <v>13</v>
      </c>
      <c r="C9" s="15">
        <v>2022</v>
      </c>
      <c r="D9" s="16">
        <v>12</v>
      </c>
      <c r="E9" s="19">
        <f t="shared" ref="E9:F9" si="8">($N$3)*D9+($N$4)*E8</f>
        <v>12.301130000000001</v>
      </c>
      <c r="F9" s="19">
        <f t="shared" si="8"/>
        <v>12.574325000000002</v>
      </c>
      <c r="G9" s="19">
        <f t="shared" si="1"/>
        <v>12.027934999999999</v>
      </c>
      <c r="H9" s="19">
        <f t="shared" si="4"/>
        <v>-2.4587550000000107</v>
      </c>
      <c r="I9" s="19">
        <f t="shared" si="5"/>
        <v>14.793500000000003</v>
      </c>
      <c r="J9" s="19">
        <f t="shared" si="6"/>
        <v>-0.23279166666666695</v>
      </c>
      <c r="K9" s="19">
        <f t="shared" si="2"/>
        <v>0.23279166666666695</v>
      </c>
    </row>
    <row r="10" spans="2:14" x14ac:dyDescent="0.25">
      <c r="B10" s="15" t="s">
        <v>2</v>
      </c>
      <c r="C10" s="15">
        <v>2022</v>
      </c>
      <c r="D10" s="16">
        <v>11</v>
      </c>
      <c r="E10" s="19">
        <f t="shared" ref="E10:F10" si="9">($N$3)*D10+($N$4)*E9</f>
        <v>11.130113000000001</v>
      </c>
      <c r="F10" s="19">
        <f t="shared" si="9"/>
        <v>11.274534200000002</v>
      </c>
      <c r="G10" s="19">
        <f t="shared" si="1"/>
        <v>10.985691800000001</v>
      </c>
      <c r="H10" s="19">
        <f t="shared" si="4"/>
        <v>-1.2997908000000002</v>
      </c>
      <c r="I10" s="19">
        <f t="shared" si="5"/>
        <v>9.5691799999999887</v>
      </c>
      <c r="J10" s="19">
        <f t="shared" si="6"/>
        <v>0.13007454545454647</v>
      </c>
      <c r="K10" s="19">
        <f t="shared" si="2"/>
        <v>0.13007454545454647</v>
      </c>
    </row>
    <row r="11" spans="2:14" x14ac:dyDescent="0.25">
      <c r="B11" s="15" t="s">
        <v>4</v>
      </c>
      <c r="C11" s="15">
        <v>2022</v>
      </c>
      <c r="D11" s="16">
        <v>15</v>
      </c>
      <c r="E11" s="19">
        <f t="shared" ref="E11:F11" si="10">($N$3)*D11+($N$4)*E10</f>
        <v>14.6130113</v>
      </c>
      <c r="F11" s="19">
        <f t="shared" si="10"/>
        <v>14.279163590000001</v>
      </c>
      <c r="G11" s="19">
        <f t="shared" si="1"/>
        <v>14.946859009999999</v>
      </c>
      <c r="H11" s="19">
        <f t="shared" si="4"/>
        <v>3.0046293899999892</v>
      </c>
      <c r="I11" s="19">
        <f>G10+H10</f>
        <v>9.6859010000000012</v>
      </c>
      <c r="J11" s="19">
        <f t="shared" si="6"/>
        <v>0.35427326666666659</v>
      </c>
      <c r="K11" s="19">
        <f t="shared" si="2"/>
        <v>0.35427326666666659</v>
      </c>
    </row>
    <row r="12" spans="2:14" x14ac:dyDescent="0.25">
      <c r="B12" s="15" t="s">
        <v>3</v>
      </c>
      <c r="C12" s="15">
        <v>2022</v>
      </c>
      <c r="D12" s="16">
        <v>20</v>
      </c>
      <c r="E12" s="19">
        <f t="shared" ref="E12:F12" si="11">($N$3)*D12+($N$4)*E11</f>
        <v>19.461301129999999</v>
      </c>
      <c r="F12" s="19">
        <f t="shared" si="11"/>
        <v>18.943087376000001</v>
      </c>
      <c r="G12" s="19">
        <f t="shared" si="1"/>
        <v>19.979514883999997</v>
      </c>
      <c r="H12" s="19">
        <f t="shared" si="4"/>
        <v>4.6639237859999803</v>
      </c>
      <c r="I12" s="19">
        <f t="shared" ref="I12:I39" si="12">G11+H11</f>
        <v>17.951488399999988</v>
      </c>
      <c r="J12" s="19">
        <f t="shared" si="6"/>
        <v>0.1024255800000006</v>
      </c>
      <c r="K12" s="19">
        <f t="shared" si="2"/>
        <v>0.1024255800000006</v>
      </c>
    </row>
    <row r="13" spans="2:14" x14ac:dyDescent="0.25">
      <c r="B13" s="15" t="s">
        <v>5</v>
      </c>
      <c r="C13" s="15">
        <v>2022</v>
      </c>
      <c r="D13" s="16">
        <v>22</v>
      </c>
      <c r="E13" s="19">
        <f t="shared" ref="E13:F13" si="13">($N$3)*D13+($N$4)*E12</f>
        <v>21.746130113</v>
      </c>
      <c r="F13" s="19">
        <f t="shared" si="13"/>
        <v>21.465825839299999</v>
      </c>
      <c r="G13" s="19">
        <f t="shared" si="1"/>
        <v>22.0264343867</v>
      </c>
      <c r="H13" s="19">
        <f t="shared" si="4"/>
        <v>2.522738463300005</v>
      </c>
      <c r="I13" s="19">
        <f t="shared" si="12"/>
        <v>24.643438669999977</v>
      </c>
      <c r="J13" s="19">
        <f t="shared" si="6"/>
        <v>-0.12015630318181714</v>
      </c>
      <c r="K13" s="19">
        <f t="shared" si="2"/>
        <v>0.12015630318181714</v>
      </c>
    </row>
    <row r="14" spans="2:14" x14ac:dyDescent="0.25">
      <c r="B14" s="15" t="s">
        <v>6</v>
      </c>
      <c r="C14" s="15">
        <v>2022</v>
      </c>
      <c r="D14" s="16">
        <v>22</v>
      </c>
      <c r="E14" s="19">
        <f t="shared" ref="E14:F14" si="14">($N$3)*D14+($N$4)*E13</f>
        <v>21.974613011300001</v>
      </c>
      <c r="F14" s="19">
        <f t="shared" si="14"/>
        <v>21.923734294100001</v>
      </c>
      <c r="G14" s="19">
        <f t="shared" si="1"/>
        <v>22.0254917285</v>
      </c>
      <c r="H14" s="19">
        <f t="shared" si="4"/>
        <v>0.45790845479999831</v>
      </c>
      <c r="I14" s="19">
        <f t="shared" si="12"/>
        <v>24.549172850000005</v>
      </c>
      <c r="J14" s="19">
        <f t="shared" si="6"/>
        <v>-0.11587149318181841</v>
      </c>
      <c r="K14" s="19">
        <f t="shared" si="2"/>
        <v>0.11587149318181841</v>
      </c>
    </row>
    <row r="15" spans="2:14" x14ac:dyDescent="0.25">
      <c r="B15" s="15" t="s">
        <v>7</v>
      </c>
      <c r="C15" s="15">
        <v>2022</v>
      </c>
      <c r="D15" s="16">
        <v>24</v>
      </c>
      <c r="E15" s="19">
        <f t="shared" ref="E15:F15" si="15">($N$3)*D15+($N$4)*E14</f>
        <v>23.797461301130003</v>
      </c>
      <c r="F15" s="19">
        <f t="shared" si="15"/>
        <v>23.610088600427005</v>
      </c>
      <c r="G15" s="19">
        <f t="shared" si="1"/>
        <v>23.984834001833001</v>
      </c>
      <c r="H15" s="19">
        <f t="shared" si="4"/>
        <v>1.6863543063269795</v>
      </c>
      <c r="I15" s="19">
        <f t="shared" si="12"/>
        <v>22.483400183299999</v>
      </c>
      <c r="J15" s="19">
        <f t="shared" si="6"/>
        <v>6.3191659029166722E-2</v>
      </c>
      <c r="K15" s="19">
        <f t="shared" si="2"/>
        <v>6.3191659029166722E-2</v>
      </c>
    </row>
    <row r="16" spans="2:14" x14ac:dyDescent="0.25">
      <c r="B16" s="15" t="s">
        <v>8</v>
      </c>
      <c r="C16" s="15">
        <v>2022</v>
      </c>
      <c r="D16" s="16">
        <v>27</v>
      </c>
      <c r="E16" s="19">
        <f t="shared" ref="E16:F16" si="16">($N$3)*D16+($N$4)*E15</f>
        <v>26.679746130113003</v>
      </c>
      <c r="F16" s="19">
        <f t="shared" si="16"/>
        <v>26.372780377144405</v>
      </c>
      <c r="G16" s="19">
        <f t="shared" si="1"/>
        <v>26.9867118830816</v>
      </c>
      <c r="H16" s="19">
        <f t="shared" si="4"/>
        <v>2.7626917767173786</v>
      </c>
      <c r="I16" s="19">
        <f t="shared" si="12"/>
        <v>25.67118830815998</v>
      </c>
      <c r="J16" s="19">
        <f t="shared" si="6"/>
        <v>4.9215247845926666E-2</v>
      </c>
      <c r="K16" s="19">
        <f t="shared" si="2"/>
        <v>4.9215247845926666E-2</v>
      </c>
    </row>
    <row r="17" spans="2:11" x14ac:dyDescent="0.25">
      <c r="B17" s="15" t="s">
        <v>9</v>
      </c>
      <c r="C17" s="15">
        <v>2023</v>
      </c>
      <c r="D17" s="16">
        <v>25</v>
      </c>
      <c r="E17" s="19">
        <f t="shared" ref="E17:F17" si="17">($N$3)*D17+($N$4)*E16</f>
        <v>25.1679746130113</v>
      </c>
      <c r="F17" s="19">
        <f t="shared" si="17"/>
        <v>25.28845518942461</v>
      </c>
      <c r="G17" s="19">
        <f t="shared" si="1"/>
        <v>25.047494036597989</v>
      </c>
      <c r="H17" s="19">
        <f t="shared" si="4"/>
        <v>-1.084325187719795</v>
      </c>
      <c r="I17" s="19">
        <f t="shared" si="12"/>
        <v>29.749403659798979</v>
      </c>
      <c r="J17" s="19">
        <f t="shared" si="6"/>
        <v>-0.18997614639195917</v>
      </c>
      <c r="K17" s="19">
        <f t="shared" si="2"/>
        <v>0.18997614639195917</v>
      </c>
    </row>
    <row r="18" spans="2:11" x14ac:dyDescent="0.25">
      <c r="B18" s="15" t="s">
        <v>10</v>
      </c>
      <c r="C18" s="15">
        <v>2023</v>
      </c>
      <c r="D18" s="16">
        <v>22</v>
      </c>
      <c r="E18" s="19">
        <f t="shared" ref="E18:F18" si="18">($N$3)*D18+($N$4)*E17</f>
        <v>22.316797461301132</v>
      </c>
      <c r="F18" s="19">
        <f t="shared" si="18"/>
        <v>22.613963234113481</v>
      </c>
      <c r="G18" s="19">
        <f t="shared" si="1"/>
        <v>22.019631688488783</v>
      </c>
      <c r="H18" s="19">
        <f t="shared" si="4"/>
        <v>-2.6744919553111401</v>
      </c>
      <c r="I18" s="19">
        <f t="shared" si="12"/>
        <v>23.963168848878194</v>
      </c>
      <c r="J18" s="19">
        <f t="shared" si="6"/>
        <v>-8.923494767628154E-2</v>
      </c>
      <c r="K18" s="19">
        <f t="shared" si="2"/>
        <v>8.923494767628154E-2</v>
      </c>
    </row>
    <row r="19" spans="2:11" x14ac:dyDescent="0.25">
      <c r="B19" s="15" t="s">
        <v>11</v>
      </c>
      <c r="C19" s="15">
        <v>2023</v>
      </c>
      <c r="D19" s="16">
        <v>20</v>
      </c>
      <c r="E19" s="19">
        <f t="shared" ref="E19:F19" si="19">($N$3)*D19+($N$4)*E18</f>
        <v>20.231679746130112</v>
      </c>
      <c r="F19" s="19">
        <f t="shared" si="19"/>
        <v>20.469908094928449</v>
      </c>
      <c r="G19" s="19">
        <f t="shared" si="1"/>
        <v>19.993451397331775</v>
      </c>
      <c r="H19" s="19">
        <f t="shared" si="4"/>
        <v>-2.1440551391850349</v>
      </c>
      <c r="I19" s="19">
        <f t="shared" si="12"/>
        <v>19.345139733177643</v>
      </c>
      <c r="J19" s="19">
        <f t="shared" si="6"/>
        <v>3.2743013341117864E-2</v>
      </c>
      <c r="K19" s="19">
        <f t="shared" si="2"/>
        <v>3.2743013341117864E-2</v>
      </c>
    </row>
    <row r="20" spans="2:11" x14ac:dyDescent="0.25">
      <c r="B20" s="15" t="s">
        <v>12</v>
      </c>
      <c r="C20" s="15">
        <v>2023</v>
      </c>
      <c r="D20" s="16">
        <v>19</v>
      </c>
      <c r="E20" s="19">
        <f t="shared" ref="E20:F20" si="20">($N$3)*D20+($N$4)*E19</f>
        <v>19.123167974613011</v>
      </c>
      <c r="F20" s="19">
        <f t="shared" si="20"/>
        <v>19.257841986644554</v>
      </c>
      <c r="G20" s="19">
        <f t="shared" si="1"/>
        <v>18.988493962581469</v>
      </c>
      <c r="H20" s="19">
        <f t="shared" si="4"/>
        <v>-1.2120661082838815</v>
      </c>
      <c r="I20" s="19">
        <f t="shared" si="12"/>
        <v>17.84939625814674</v>
      </c>
      <c r="J20" s="19">
        <f t="shared" si="6"/>
        <v>6.0558091676487368E-2</v>
      </c>
      <c r="K20" s="19">
        <f t="shared" si="2"/>
        <v>6.0558091676487368E-2</v>
      </c>
    </row>
    <row r="21" spans="2:11" x14ac:dyDescent="0.25">
      <c r="B21" s="15" t="s">
        <v>13</v>
      </c>
      <c r="C21" s="15">
        <v>2023</v>
      </c>
      <c r="D21" s="16">
        <v>15</v>
      </c>
      <c r="E21" s="19">
        <f t="shared" ref="E21:F21" si="21">($N$3)*D21+($N$4)*E20</f>
        <v>15.412316797461301</v>
      </c>
      <c r="F21" s="19">
        <f t="shared" si="21"/>
        <v>15.796869316379627</v>
      </c>
      <c r="G21" s="19">
        <f t="shared" si="1"/>
        <v>15.027764278542975</v>
      </c>
      <c r="H21" s="19">
        <f t="shared" si="4"/>
        <v>-3.4609726702649368</v>
      </c>
      <c r="I21" s="19">
        <f t="shared" si="12"/>
        <v>17.776427854297587</v>
      </c>
      <c r="J21" s="19">
        <f t="shared" si="6"/>
        <v>-0.18509519028650581</v>
      </c>
      <c r="K21" s="19">
        <f t="shared" si="2"/>
        <v>0.18509519028650581</v>
      </c>
    </row>
    <row r="22" spans="2:11" x14ac:dyDescent="0.25">
      <c r="B22" s="15" t="s">
        <v>2</v>
      </c>
      <c r="C22" s="15">
        <v>2023</v>
      </c>
      <c r="D22" s="16">
        <v>15</v>
      </c>
      <c r="E22" s="19">
        <f t="shared" ref="E22:F22" si="22">($N$3)*D22+($N$4)*E21</f>
        <v>15.041231679746129</v>
      </c>
      <c r="F22" s="19">
        <f t="shared" si="22"/>
        <v>15.11679544340948</v>
      </c>
      <c r="G22" s="19">
        <f t="shared" si="1"/>
        <v>14.965667916082779</v>
      </c>
      <c r="H22" s="19">
        <f t="shared" si="4"/>
        <v>-0.68007387297015143</v>
      </c>
      <c r="I22" s="19">
        <f t="shared" si="12"/>
        <v>11.566791608278038</v>
      </c>
      <c r="J22" s="19">
        <f t="shared" si="6"/>
        <v>0.22888055944813079</v>
      </c>
      <c r="K22" s="19">
        <f t="shared" si="2"/>
        <v>0.22888055944813079</v>
      </c>
    </row>
    <row r="23" spans="2:11" x14ac:dyDescent="0.25">
      <c r="B23" s="15" t="s">
        <v>4</v>
      </c>
      <c r="C23" s="15">
        <v>2023</v>
      </c>
      <c r="D23" s="16">
        <v>20</v>
      </c>
      <c r="E23" s="19">
        <f t="shared" ref="E23:F23" si="23">($N$3)*D23+($N$4)*E22</f>
        <v>19.504123167974612</v>
      </c>
      <c r="F23" s="19">
        <f t="shared" si="23"/>
        <v>19.065390395518097</v>
      </c>
      <c r="G23" s="19">
        <f t="shared" si="1"/>
        <v>19.942855940431127</v>
      </c>
      <c r="H23" s="19">
        <f t="shared" si="4"/>
        <v>3.9485949521086319</v>
      </c>
      <c r="I23" s="19">
        <f t="shared" si="12"/>
        <v>14.285594043112628</v>
      </c>
      <c r="J23" s="19">
        <f t="shared" si="6"/>
        <v>0.28572029784436859</v>
      </c>
      <c r="K23" s="19">
        <f t="shared" si="2"/>
        <v>0.28572029784436859</v>
      </c>
    </row>
    <row r="24" spans="2:11" x14ac:dyDescent="0.25">
      <c r="B24" s="15" t="s">
        <v>3</v>
      </c>
      <c r="C24" s="15">
        <v>2023</v>
      </c>
      <c r="D24" s="16">
        <v>25</v>
      </c>
      <c r="E24" s="19">
        <f t="shared" ref="E24:F24" si="24">($N$3)*D24+($N$4)*E23</f>
        <v>24.450412316797461</v>
      </c>
      <c r="F24" s="19">
        <f t="shared" si="24"/>
        <v>23.911910124669525</v>
      </c>
      <c r="G24" s="19">
        <f t="shared" si="1"/>
        <v>24.988914508925397</v>
      </c>
      <c r="H24" s="19">
        <f t="shared" si="4"/>
        <v>4.8465197291514244</v>
      </c>
      <c r="I24" s="19">
        <f t="shared" si="12"/>
        <v>23.891450892539758</v>
      </c>
      <c r="J24" s="19">
        <f t="shared" si="6"/>
        <v>4.4341964298409663E-2</v>
      </c>
      <c r="K24" s="19">
        <f t="shared" si="2"/>
        <v>4.4341964298409663E-2</v>
      </c>
    </row>
    <row r="25" spans="2:11" x14ac:dyDescent="0.25">
      <c r="B25" s="15" t="s">
        <v>5</v>
      </c>
      <c r="C25" s="15">
        <v>2023</v>
      </c>
      <c r="D25" s="16">
        <v>27</v>
      </c>
      <c r="E25" s="19">
        <f t="shared" ref="E25:F25" si="25">($N$3)*D25+($N$4)*E24</f>
        <v>26.745041231679746</v>
      </c>
      <c r="F25" s="19">
        <f t="shared" si="25"/>
        <v>26.461728120978723</v>
      </c>
      <c r="G25" s="19">
        <f t="shared" si="1"/>
        <v>27.028354342380769</v>
      </c>
      <c r="H25" s="19">
        <f t="shared" si="4"/>
        <v>2.5498179963092085</v>
      </c>
      <c r="I25" s="19">
        <f t="shared" si="12"/>
        <v>29.835434238076822</v>
      </c>
      <c r="J25" s="19">
        <f t="shared" si="6"/>
        <v>-0.10501608289173413</v>
      </c>
      <c r="K25" s="19">
        <f t="shared" si="2"/>
        <v>0.10501608289173413</v>
      </c>
    </row>
    <row r="26" spans="2:11" x14ac:dyDescent="0.25">
      <c r="B26" s="15" t="s">
        <v>6</v>
      </c>
      <c r="C26" s="15">
        <v>2023</v>
      </c>
      <c r="D26" s="16">
        <v>30</v>
      </c>
      <c r="E26" s="19">
        <f t="shared" ref="E26:F26" si="26">($N$3)*D26+($N$4)*E25</f>
        <v>29.674504123167974</v>
      </c>
      <c r="F26" s="19">
        <f t="shared" si="26"/>
        <v>29.353226522949051</v>
      </c>
      <c r="G26" s="19">
        <f t="shared" si="1"/>
        <v>29.995781723386898</v>
      </c>
      <c r="H26" s="19">
        <f t="shared" si="4"/>
        <v>2.8914984019703134</v>
      </c>
      <c r="I26" s="19">
        <f t="shared" si="12"/>
        <v>29.578172338689978</v>
      </c>
      <c r="J26" s="19">
        <f t="shared" si="6"/>
        <v>1.4060922043667408E-2</v>
      </c>
      <c r="K26" s="19">
        <f t="shared" si="2"/>
        <v>1.4060922043667408E-2</v>
      </c>
    </row>
    <row r="27" spans="2:11" x14ac:dyDescent="0.25">
      <c r="B27" s="15" t="s">
        <v>7</v>
      </c>
      <c r="C27" s="15">
        <v>2023</v>
      </c>
      <c r="D27" s="16">
        <v>32</v>
      </c>
      <c r="E27" s="19">
        <f t="shared" ref="E27:F27" si="27">($N$3)*D27+($N$4)*E26</f>
        <v>31.767450412316798</v>
      </c>
      <c r="F27" s="19">
        <f t="shared" si="27"/>
        <v>31.526028023380022</v>
      </c>
      <c r="G27" s="19">
        <f t="shared" si="1"/>
        <v>32.008872801253574</v>
      </c>
      <c r="H27" s="19">
        <f t="shared" si="4"/>
        <v>2.1728015004309853</v>
      </c>
      <c r="I27" s="19">
        <f t="shared" si="12"/>
        <v>32.887280125357208</v>
      </c>
      <c r="J27" s="19">
        <f t="shared" si="6"/>
        <v>-2.7727503917412744E-2</v>
      </c>
      <c r="K27" s="19">
        <f t="shared" si="2"/>
        <v>2.7727503917412744E-2</v>
      </c>
    </row>
    <row r="28" spans="2:11" x14ac:dyDescent="0.25">
      <c r="B28" s="15" t="s">
        <v>8</v>
      </c>
      <c r="C28" s="15">
        <v>2023</v>
      </c>
      <c r="D28" s="16">
        <v>32</v>
      </c>
      <c r="E28" s="19">
        <f t="shared" ref="E28:F28" si="28">($N$3)*D28+($N$4)*E27</f>
        <v>31.97674504123168</v>
      </c>
      <c r="F28" s="19">
        <f t="shared" si="28"/>
        <v>31.931673339446515</v>
      </c>
      <c r="G28" s="19">
        <f t="shared" si="1"/>
        <v>32.021816743016842</v>
      </c>
      <c r="H28" s="19">
        <f t="shared" si="4"/>
        <v>0.40564531606648657</v>
      </c>
      <c r="I28" s="19">
        <f t="shared" si="12"/>
        <v>34.181674301684559</v>
      </c>
      <c r="J28" s="19">
        <f t="shared" si="6"/>
        <v>-6.8177321927642476E-2</v>
      </c>
      <c r="K28" s="19">
        <f t="shared" si="2"/>
        <v>6.8177321927642476E-2</v>
      </c>
    </row>
    <row r="29" spans="2:11" x14ac:dyDescent="0.25">
      <c r="B29" s="15" t="s">
        <v>9</v>
      </c>
      <c r="C29" s="15">
        <v>2024</v>
      </c>
      <c r="D29" s="16">
        <v>29</v>
      </c>
      <c r="E29" s="19">
        <f t="shared" ref="E29:F29" si="29">($N$3)*D29+($N$4)*E28</f>
        <v>29.297674504123169</v>
      </c>
      <c r="F29" s="19">
        <f t="shared" si="29"/>
        <v>29.561074387655502</v>
      </c>
      <c r="G29" s="19">
        <f t="shared" si="1"/>
        <v>29.034274620590836</v>
      </c>
      <c r="H29" s="19">
        <f t="shared" si="4"/>
        <v>-2.3705989517909991</v>
      </c>
      <c r="I29" s="19">
        <f t="shared" si="12"/>
        <v>32.427462059083325</v>
      </c>
      <c r="J29" s="19">
        <f t="shared" si="6"/>
        <v>-0.11818834686494224</v>
      </c>
      <c r="K29" s="19">
        <f t="shared" si="2"/>
        <v>0.11818834686494224</v>
      </c>
    </row>
    <row r="30" spans="2:11" x14ac:dyDescent="0.25">
      <c r="B30" s="15" t="s">
        <v>10</v>
      </c>
      <c r="C30" s="15">
        <v>2024</v>
      </c>
      <c r="D30" s="16">
        <v>26</v>
      </c>
      <c r="E30" s="19">
        <f t="shared" ref="E30:F30" si="30">($N$3)*D30+($N$4)*E29</f>
        <v>26.329767450412319</v>
      </c>
      <c r="F30" s="19">
        <f t="shared" si="30"/>
        <v>26.652898144136639</v>
      </c>
      <c r="G30" s="19">
        <f t="shared" si="1"/>
        <v>26.006636756688</v>
      </c>
      <c r="H30" s="19">
        <f t="shared" si="4"/>
        <v>-2.9081762435188772</v>
      </c>
      <c r="I30" s="19">
        <f t="shared" si="12"/>
        <v>26.663675668799836</v>
      </c>
      <c r="J30" s="19">
        <f t="shared" si="6"/>
        <v>-2.5525987261532171E-2</v>
      </c>
      <c r="K30" s="19">
        <f t="shared" si="2"/>
        <v>2.5525987261532171E-2</v>
      </c>
    </row>
    <row r="31" spans="2:11" x14ac:dyDescent="0.25">
      <c r="B31" s="15" t="s">
        <v>11</v>
      </c>
      <c r="C31" s="15">
        <v>2024</v>
      </c>
      <c r="D31" s="16">
        <v>24</v>
      </c>
      <c r="E31" s="19">
        <f t="shared" ref="E31:F31" si="31">($N$3)*D31+($N$4)*E30</f>
        <v>24.232976745041235</v>
      </c>
      <c r="F31" s="19">
        <f t="shared" si="31"/>
        <v>24.474968884950776</v>
      </c>
      <c r="G31" s="19">
        <f t="shared" si="1"/>
        <v>23.990984605131693</v>
      </c>
      <c r="H31" s="19">
        <f t="shared" si="4"/>
        <v>-2.1779292591858734</v>
      </c>
      <c r="I31" s="19">
        <f t="shared" si="12"/>
        <v>23.098460513169123</v>
      </c>
      <c r="J31" s="19">
        <f t="shared" si="6"/>
        <v>3.7564145284619897E-2</v>
      </c>
      <c r="K31" s="19">
        <f t="shared" si="2"/>
        <v>3.7564145284619897E-2</v>
      </c>
    </row>
    <row r="32" spans="2:11" x14ac:dyDescent="0.25">
      <c r="B32" s="15" t="s">
        <v>12</v>
      </c>
      <c r="C32" s="15">
        <v>2024</v>
      </c>
      <c r="D32" s="16">
        <v>20</v>
      </c>
      <c r="E32" s="19">
        <f t="shared" ref="E32:F32" si="32">($N$3)*D32+($N$4)*E31</f>
        <v>20.423297674504123</v>
      </c>
      <c r="F32" s="19">
        <f t="shared" si="32"/>
        <v>20.82846479554879</v>
      </c>
      <c r="G32" s="19">
        <f t="shared" si="1"/>
        <v>20.018130553459457</v>
      </c>
      <c r="H32" s="19">
        <f t="shared" si="4"/>
        <v>-3.6465040894019971</v>
      </c>
      <c r="I32" s="19">
        <f t="shared" si="12"/>
        <v>21.81305534594582</v>
      </c>
      <c r="J32" s="19">
        <f t="shared" si="6"/>
        <v>-9.0652767297290993E-2</v>
      </c>
      <c r="K32" s="19">
        <f t="shared" si="2"/>
        <v>9.0652767297290993E-2</v>
      </c>
    </row>
    <row r="33" spans="2:14" x14ac:dyDescent="0.25">
      <c r="B33" s="15" t="s">
        <v>13</v>
      </c>
      <c r="C33" s="15">
        <v>2024</v>
      </c>
      <c r="D33" s="16">
        <v>18</v>
      </c>
      <c r="E33" s="19">
        <f t="shared" ref="E33:F33" si="33">($N$3)*D33+($N$4)*E32</f>
        <v>18.242329767450411</v>
      </c>
      <c r="F33" s="19">
        <f t="shared" si="33"/>
        <v>18.500943270260247</v>
      </c>
      <c r="G33" s="19">
        <f t="shared" si="1"/>
        <v>17.983716264640574</v>
      </c>
      <c r="H33" s="19">
        <f t="shared" si="4"/>
        <v>-2.3275215252885317</v>
      </c>
      <c r="I33" s="19">
        <f t="shared" si="12"/>
        <v>16.37162646405746</v>
      </c>
      <c r="J33" s="19">
        <f t="shared" si="6"/>
        <v>9.0465196441252227E-2</v>
      </c>
      <c r="K33" s="19">
        <f t="shared" si="2"/>
        <v>9.0465196441252227E-2</v>
      </c>
    </row>
    <row r="34" spans="2:14" x14ac:dyDescent="0.25">
      <c r="B34" s="15" t="s">
        <v>2</v>
      </c>
      <c r="C34" s="15">
        <v>2024</v>
      </c>
      <c r="D34" s="16">
        <v>16</v>
      </c>
      <c r="E34" s="19">
        <f t="shared" ref="E34:F34" si="34">($N$3)*D34+($N$4)*E33</f>
        <v>16.224232976745043</v>
      </c>
      <c r="F34" s="19">
        <f t="shared" si="34"/>
        <v>16.451904006096566</v>
      </c>
      <c r="G34" s="19">
        <f t="shared" si="1"/>
        <v>15.99656194739352</v>
      </c>
      <c r="H34" s="19">
        <f t="shared" si="4"/>
        <v>-2.0490392641637065</v>
      </c>
      <c r="I34" s="19">
        <f t="shared" si="12"/>
        <v>15.656194739352042</v>
      </c>
      <c r="J34" s="19">
        <f t="shared" si="6"/>
        <v>2.1487828790497376E-2</v>
      </c>
      <c r="K34" s="19">
        <f t="shared" si="2"/>
        <v>2.1487828790497376E-2</v>
      </c>
    </row>
    <row r="35" spans="2:14" x14ac:dyDescent="0.25">
      <c r="B35" s="15" t="s">
        <v>4</v>
      </c>
      <c r="C35" s="15">
        <v>2024</v>
      </c>
      <c r="D35" s="16">
        <v>21</v>
      </c>
      <c r="E35" s="19">
        <f t="shared" ref="E35:F35" si="35">($N$3)*D35+($N$4)*E34</f>
        <v>20.522423297674507</v>
      </c>
      <c r="F35" s="19">
        <f t="shared" si="35"/>
        <v>20.115371368516715</v>
      </c>
      <c r="G35" s="19">
        <f t="shared" si="1"/>
        <v>20.929475226832299</v>
      </c>
      <c r="H35" s="19">
        <f t="shared" si="4"/>
        <v>3.6634673624201248</v>
      </c>
      <c r="I35" s="19">
        <f t="shared" si="12"/>
        <v>13.947522683229813</v>
      </c>
      <c r="J35" s="19">
        <f t="shared" si="6"/>
        <v>0.33583225317953269</v>
      </c>
      <c r="K35" s="19">
        <f t="shared" si="2"/>
        <v>0.33583225317953269</v>
      </c>
    </row>
    <row r="36" spans="2:14" x14ac:dyDescent="0.25">
      <c r="B36" s="15" t="s">
        <v>3</v>
      </c>
      <c r="C36" s="15">
        <v>2024</v>
      </c>
      <c r="D36" s="16">
        <v>23</v>
      </c>
      <c r="E36" s="19">
        <f t="shared" ref="E36:F36" si="36">($N$3)*D36+($N$4)*E35</f>
        <v>22.752242329767451</v>
      </c>
      <c r="F36" s="19">
        <f t="shared" si="36"/>
        <v>22.48855523364238</v>
      </c>
      <c r="G36" s="19">
        <f t="shared" si="1"/>
        <v>23.015929425892523</v>
      </c>
      <c r="H36" s="19">
        <f t="shared" si="4"/>
        <v>2.3731838651256432</v>
      </c>
      <c r="I36" s="19">
        <f t="shared" si="12"/>
        <v>24.592942589252424</v>
      </c>
      <c r="J36" s="19">
        <f t="shared" si="6"/>
        <v>-6.9258373445757554E-2</v>
      </c>
      <c r="K36" s="19">
        <f t="shared" si="2"/>
        <v>6.9258373445757554E-2</v>
      </c>
    </row>
    <row r="37" spans="2:14" x14ac:dyDescent="0.25">
      <c r="B37" s="15" t="s">
        <v>5</v>
      </c>
      <c r="C37" s="15">
        <v>2024</v>
      </c>
      <c r="D37" s="16">
        <v>24</v>
      </c>
      <c r="E37" s="19">
        <f t="shared" ref="E37:F37" si="37">($N$3)*D37+($N$4)*E36</f>
        <v>23.875224232976748</v>
      </c>
      <c r="F37" s="19">
        <f t="shared" si="37"/>
        <v>23.736557333043312</v>
      </c>
      <c r="G37" s="19">
        <f t="shared" si="1"/>
        <v>24.013891132910185</v>
      </c>
      <c r="H37" s="19">
        <f t="shared" si="4"/>
        <v>1.2480020994009315</v>
      </c>
      <c r="I37" s="19">
        <f t="shared" si="12"/>
        <v>25.389113291018166</v>
      </c>
      <c r="J37" s="19">
        <f t="shared" si="6"/>
        <v>-5.7879720459090254E-2</v>
      </c>
      <c r="K37" s="19">
        <f t="shared" si="2"/>
        <v>5.7879720459090254E-2</v>
      </c>
    </row>
    <row r="38" spans="2:14" x14ac:dyDescent="0.25">
      <c r="B38" s="15" t="s">
        <v>6</v>
      </c>
      <c r="C38" s="15">
        <v>2024</v>
      </c>
      <c r="D38" s="16">
        <v>28</v>
      </c>
      <c r="E38" s="19">
        <f t="shared" ref="E38:F38" si="38">($N$3)*D38+($N$4)*E37</f>
        <v>27.587522423297674</v>
      </c>
      <c r="F38" s="19">
        <f t="shared" si="38"/>
        <v>27.20242591427224</v>
      </c>
      <c r="G38" s="19">
        <f t="shared" si="1"/>
        <v>27.972618932323108</v>
      </c>
      <c r="H38" s="19">
        <f t="shared" si="4"/>
        <v>3.4658685812289072</v>
      </c>
      <c r="I38" s="19">
        <f t="shared" si="12"/>
        <v>25.261893232311117</v>
      </c>
      <c r="J38" s="19">
        <f t="shared" si="6"/>
        <v>9.7789527417460123E-2</v>
      </c>
      <c r="K38" s="19">
        <f t="shared" si="2"/>
        <v>9.7789527417460123E-2</v>
      </c>
    </row>
    <row r="39" spans="2:14" x14ac:dyDescent="0.25">
      <c r="B39" s="15" t="s">
        <v>7</v>
      </c>
      <c r="C39" s="15">
        <v>2024</v>
      </c>
      <c r="D39" s="16">
        <v>29</v>
      </c>
      <c r="E39" s="19">
        <f t="shared" ref="E39:F39" si="39">($N$3)*D39+($N$4)*E38</f>
        <v>28.858752242329768</v>
      </c>
      <c r="F39" s="19">
        <f t="shared" si="39"/>
        <v>28.693119609524018</v>
      </c>
      <c r="G39" s="19">
        <f t="shared" si="1"/>
        <v>29.024384875135517</v>
      </c>
      <c r="H39" s="19">
        <f t="shared" si="4"/>
        <v>1.4906936952517462</v>
      </c>
      <c r="I39" s="19">
        <f t="shared" si="12"/>
        <v>31.438487513552015</v>
      </c>
      <c r="J39" s="19">
        <f t="shared" si="6"/>
        <v>-8.4085776329379844E-2</v>
      </c>
      <c r="K39" s="19">
        <f t="shared" si="2"/>
        <v>8.4085776329379844E-2</v>
      </c>
    </row>
    <row r="40" spans="2:14" x14ac:dyDescent="0.25">
      <c r="B40" s="21" t="s">
        <v>8</v>
      </c>
      <c r="C40" s="21">
        <v>2024</v>
      </c>
      <c r="D40" s="22"/>
      <c r="E40" s="8"/>
      <c r="F40" s="8"/>
      <c r="G40" s="8"/>
      <c r="H40" s="8"/>
      <c r="I40" s="8">
        <f>G39+H39</f>
        <v>30.515078570387264</v>
      </c>
      <c r="J40" s="8" t="s">
        <v>21</v>
      </c>
      <c r="K40" s="20">
        <f>100/36*SUM(K5:K39)</f>
        <v>10.785460133639749</v>
      </c>
    </row>
    <row r="42" spans="2:14" x14ac:dyDescent="0.25">
      <c r="B42" s="18" t="s">
        <v>0</v>
      </c>
      <c r="C42" s="18" t="s">
        <v>1</v>
      </c>
      <c r="D42" s="18" t="s">
        <v>22</v>
      </c>
      <c r="E42" s="18" t="s">
        <v>14</v>
      </c>
      <c r="F42" s="18" t="s">
        <v>15</v>
      </c>
      <c r="G42" s="18" t="s">
        <v>16</v>
      </c>
      <c r="H42" s="18" t="s">
        <v>17</v>
      </c>
      <c r="I42" s="18" t="s">
        <v>18</v>
      </c>
      <c r="J42" s="18" t="s">
        <v>19</v>
      </c>
      <c r="K42" s="18" t="s">
        <v>20</v>
      </c>
      <c r="N42" s="11">
        <v>0.8</v>
      </c>
    </row>
    <row r="43" spans="2:14" x14ac:dyDescent="0.25">
      <c r="B43" s="15" t="s">
        <v>8</v>
      </c>
      <c r="C43" s="15">
        <v>2021</v>
      </c>
      <c r="D43" s="16">
        <v>20</v>
      </c>
      <c r="E43" s="19">
        <v>20</v>
      </c>
      <c r="F43" s="19">
        <v>20</v>
      </c>
      <c r="G43" s="19">
        <v>20</v>
      </c>
      <c r="H43" s="19">
        <v>0</v>
      </c>
      <c r="I43" s="19"/>
      <c r="J43" s="19"/>
      <c r="K43" s="19"/>
      <c r="N43" s="11">
        <v>0.2</v>
      </c>
    </row>
    <row r="44" spans="2:14" x14ac:dyDescent="0.25">
      <c r="B44" s="15" t="s">
        <v>9</v>
      </c>
      <c r="C44" s="15">
        <v>2022</v>
      </c>
      <c r="D44" s="16">
        <v>17</v>
      </c>
      <c r="E44" s="19">
        <f t="shared" ref="E44:F46" si="40">($N$42)*D44+($N$43)*E43</f>
        <v>17.600000000000001</v>
      </c>
      <c r="F44" s="19">
        <f t="shared" si="40"/>
        <v>18.080000000000002</v>
      </c>
      <c r="G44" s="19">
        <f>2*(E44)-(F44)</f>
        <v>17.12</v>
      </c>
      <c r="H44" s="19">
        <f>$N$42/$N$43*(E44-F44)</f>
        <v>-1.9200000000000017</v>
      </c>
      <c r="I44" s="19">
        <f>G43+H43</f>
        <v>20</v>
      </c>
      <c r="J44" s="19">
        <f>(D44-I44)/D44</f>
        <v>-0.17647058823529413</v>
      </c>
      <c r="K44" s="19">
        <f>ABS(J44)</f>
        <v>0.17647058823529413</v>
      </c>
    </row>
    <row r="45" spans="2:14" x14ac:dyDescent="0.25">
      <c r="B45" s="15" t="s">
        <v>10</v>
      </c>
      <c r="C45" s="15">
        <v>2022</v>
      </c>
      <c r="D45" s="16">
        <v>16</v>
      </c>
      <c r="E45" s="19">
        <f t="shared" si="40"/>
        <v>16.32</v>
      </c>
      <c r="F45" s="19">
        <f t="shared" si="40"/>
        <v>16.672000000000001</v>
      </c>
      <c r="G45" s="19">
        <f>2*(E45)-(F45)</f>
        <v>15.968</v>
      </c>
      <c r="H45" s="19">
        <f t="shared" ref="H45:H78" si="41">$N$42/$N$43*(E45-F45)</f>
        <v>-1.4080000000000013</v>
      </c>
      <c r="I45" s="19">
        <f>G44+H44</f>
        <v>15.2</v>
      </c>
      <c r="J45" s="19">
        <f>(D45-I45)/D45</f>
        <v>5.0000000000000044E-2</v>
      </c>
      <c r="K45" s="19">
        <f t="shared" ref="K45:K78" si="42">ABS(J45)</f>
        <v>5.0000000000000044E-2</v>
      </c>
    </row>
    <row r="46" spans="2:14" x14ac:dyDescent="0.25">
      <c r="B46" s="15" t="s">
        <v>11</v>
      </c>
      <c r="C46" s="15">
        <v>2022</v>
      </c>
      <c r="D46" s="16">
        <v>15</v>
      </c>
      <c r="E46" s="19">
        <f t="shared" si="40"/>
        <v>15.263999999999999</v>
      </c>
      <c r="F46" s="19">
        <f t="shared" si="40"/>
        <v>15.5456</v>
      </c>
      <c r="G46" s="19">
        <f t="shared" ref="G46:G78" si="43">2*(E46)-(F46)</f>
        <v>14.982399999999998</v>
      </c>
      <c r="H46" s="19">
        <f t="shared" si="41"/>
        <v>-1.1264000000000038</v>
      </c>
      <c r="I46" s="19">
        <f t="shared" ref="I46:I49" si="44">G45+H45</f>
        <v>14.559999999999999</v>
      </c>
      <c r="J46" s="19">
        <f t="shared" ref="J46:J78" si="45">(D46-I46)/D46</f>
        <v>2.933333333333342E-2</v>
      </c>
      <c r="K46" s="19">
        <f>ABS(J46)</f>
        <v>2.933333333333342E-2</v>
      </c>
    </row>
    <row r="47" spans="2:14" x14ac:dyDescent="0.25">
      <c r="B47" s="15" t="s">
        <v>12</v>
      </c>
      <c r="C47" s="15">
        <v>2022</v>
      </c>
      <c r="D47" s="16">
        <v>15</v>
      </c>
      <c r="E47" s="19">
        <f t="shared" ref="E47:F47" si="46">($N$42)*D47+($N$43)*E46</f>
        <v>15.0528</v>
      </c>
      <c r="F47" s="19">
        <f t="shared" si="46"/>
        <v>15.15136</v>
      </c>
      <c r="G47" s="19">
        <f t="shared" si="43"/>
        <v>14.954239999999999</v>
      </c>
      <c r="H47" s="19">
        <f t="shared" si="41"/>
        <v>-0.39424000000000348</v>
      </c>
      <c r="I47" s="19">
        <f t="shared" si="44"/>
        <v>13.855999999999995</v>
      </c>
      <c r="J47" s="19">
        <f t="shared" si="45"/>
        <v>7.6266666666667024E-2</v>
      </c>
      <c r="K47" s="19">
        <f t="shared" si="42"/>
        <v>7.6266666666667024E-2</v>
      </c>
    </row>
    <row r="48" spans="2:14" x14ac:dyDescent="0.25">
      <c r="B48" s="15" t="s">
        <v>13</v>
      </c>
      <c r="C48" s="15">
        <v>2022</v>
      </c>
      <c r="D48" s="16">
        <v>12</v>
      </c>
      <c r="E48" s="19">
        <f t="shared" ref="E48:F48" si="47">($N$42)*D48+($N$43)*E47</f>
        <v>12.610560000000001</v>
      </c>
      <c r="F48" s="19">
        <f t="shared" si="47"/>
        <v>13.118720000000001</v>
      </c>
      <c r="G48" s="19">
        <f t="shared" si="43"/>
        <v>12.102400000000001</v>
      </c>
      <c r="H48" s="19">
        <f t="shared" si="41"/>
        <v>-2.0326400000000007</v>
      </c>
      <c r="I48" s="19">
        <f t="shared" si="44"/>
        <v>14.559999999999995</v>
      </c>
      <c r="J48" s="19">
        <f t="shared" si="45"/>
        <v>-0.21333333333333293</v>
      </c>
      <c r="K48" s="19">
        <f t="shared" si="42"/>
        <v>0.21333333333333293</v>
      </c>
    </row>
    <row r="49" spans="2:11" x14ac:dyDescent="0.25">
      <c r="B49" s="15" t="s">
        <v>2</v>
      </c>
      <c r="C49" s="15">
        <v>2022</v>
      </c>
      <c r="D49" s="16">
        <v>11</v>
      </c>
      <c r="E49" s="19">
        <f t="shared" ref="E49:F49" si="48">($N$42)*D49+($N$43)*E48</f>
        <v>11.322112000000001</v>
      </c>
      <c r="F49" s="19">
        <f t="shared" si="48"/>
        <v>11.681433600000002</v>
      </c>
      <c r="G49" s="19">
        <f t="shared" si="43"/>
        <v>10.962790399999999</v>
      </c>
      <c r="H49" s="19">
        <f t="shared" si="41"/>
        <v>-1.437286400000005</v>
      </c>
      <c r="I49" s="19">
        <f t="shared" si="44"/>
        <v>10.06976</v>
      </c>
      <c r="J49" s="19">
        <f t="shared" si="45"/>
        <v>8.4567272727272685E-2</v>
      </c>
      <c r="K49" s="19">
        <f t="shared" si="42"/>
        <v>8.4567272727272685E-2</v>
      </c>
    </row>
    <row r="50" spans="2:11" x14ac:dyDescent="0.25">
      <c r="B50" s="15" t="s">
        <v>4</v>
      </c>
      <c r="C50" s="15">
        <v>2022</v>
      </c>
      <c r="D50" s="16">
        <v>15</v>
      </c>
      <c r="E50" s="19">
        <f t="shared" ref="E50:F50" si="49">($N$42)*D50+($N$43)*E49</f>
        <v>14.264422400000001</v>
      </c>
      <c r="F50" s="19">
        <f t="shared" si="49"/>
        <v>13.747824640000001</v>
      </c>
      <c r="G50" s="19">
        <f t="shared" si="43"/>
        <v>14.781020160000001</v>
      </c>
      <c r="H50" s="19">
        <f t="shared" si="41"/>
        <v>2.0663910399999992</v>
      </c>
      <c r="I50" s="19">
        <f>G49+H49</f>
        <v>9.5255039999999944</v>
      </c>
      <c r="J50" s="19">
        <f t="shared" si="45"/>
        <v>0.36496640000000036</v>
      </c>
      <c r="K50" s="19">
        <f t="shared" si="42"/>
        <v>0.36496640000000036</v>
      </c>
    </row>
    <row r="51" spans="2:11" x14ac:dyDescent="0.25">
      <c r="B51" s="15" t="s">
        <v>3</v>
      </c>
      <c r="C51" s="15">
        <v>2022</v>
      </c>
      <c r="D51" s="16">
        <v>20</v>
      </c>
      <c r="E51" s="19">
        <f t="shared" ref="E51:F51" si="50">($N$42)*D51+($N$43)*E50</f>
        <v>18.85288448</v>
      </c>
      <c r="F51" s="19">
        <f t="shared" si="50"/>
        <v>17.831872512</v>
      </c>
      <c r="G51" s="19">
        <f t="shared" si="43"/>
        <v>19.873896448</v>
      </c>
      <c r="H51" s="19">
        <f t="shared" si="41"/>
        <v>4.0840478719999993</v>
      </c>
      <c r="I51" s="19">
        <f t="shared" ref="I51:I78" si="51">G50+H50</f>
        <v>16.8474112</v>
      </c>
      <c r="J51" s="19">
        <f t="shared" si="45"/>
        <v>0.15762944000000001</v>
      </c>
      <c r="K51" s="19">
        <f t="shared" si="42"/>
        <v>0.15762944000000001</v>
      </c>
    </row>
    <row r="52" spans="2:11" x14ac:dyDescent="0.25">
      <c r="B52" s="15" t="s">
        <v>5</v>
      </c>
      <c r="C52" s="15">
        <v>2022</v>
      </c>
      <c r="D52" s="16">
        <v>22</v>
      </c>
      <c r="E52" s="19">
        <f t="shared" ref="E52:F52" si="52">($N$42)*D52+($N$43)*E51</f>
        <v>21.370576896000003</v>
      </c>
      <c r="F52" s="19">
        <f t="shared" si="52"/>
        <v>20.6628360192</v>
      </c>
      <c r="G52" s="19">
        <f t="shared" si="43"/>
        <v>22.078317772800006</v>
      </c>
      <c r="H52" s="19">
        <f t="shared" si="41"/>
        <v>2.8309635072000106</v>
      </c>
      <c r="I52" s="19">
        <f t="shared" si="51"/>
        <v>23.957944319999999</v>
      </c>
      <c r="J52" s="19">
        <f t="shared" si="45"/>
        <v>-8.8997469090909054E-2</v>
      </c>
      <c r="K52" s="19">
        <f t="shared" si="42"/>
        <v>8.8997469090909054E-2</v>
      </c>
    </row>
    <row r="53" spans="2:11" x14ac:dyDescent="0.25">
      <c r="B53" s="15" t="s">
        <v>6</v>
      </c>
      <c r="C53" s="15">
        <v>2022</v>
      </c>
      <c r="D53" s="16">
        <v>22</v>
      </c>
      <c r="E53" s="19">
        <f t="shared" ref="E53:F53" si="53">($N$42)*D53+($N$43)*E52</f>
        <v>21.874115379200003</v>
      </c>
      <c r="F53" s="19">
        <f t="shared" si="53"/>
        <v>21.631859507200005</v>
      </c>
      <c r="G53" s="19">
        <f t="shared" si="43"/>
        <v>22.1163712512</v>
      </c>
      <c r="H53" s="19">
        <f t="shared" si="41"/>
        <v>0.96902348799999061</v>
      </c>
      <c r="I53" s="19">
        <f t="shared" si="51"/>
        <v>24.909281280000016</v>
      </c>
      <c r="J53" s="19">
        <f t="shared" si="45"/>
        <v>-0.13224005818181891</v>
      </c>
      <c r="K53" s="19">
        <f t="shared" si="42"/>
        <v>0.13224005818181891</v>
      </c>
    </row>
    <row r="54" spans="2:11" x14ac:dyDescent="0.25">
      <c r="B54" s="15" t="s">
        <v>7</v>
      </c>
      <c r="C54" s="15">
        <v>2022</v>
      </c>
      <c r="D54" s="16">
        <v>24</v>
      </c>
      <c r="E54" s="19">
        <f t="shared" ref="E54:F54" si="54">($N$42)*D54+($N$43)*E53</f>
        <v>23.574823075840005</v>
      </c>
      <c r="F54" s="19">
        <f t="shared" si="54"/>
        <v>23.186230362112006</v>
      </c>
      <c r="G54" s="19">
        <f t="shared" si="43"/>
        <v>23.963415789568003</v>
      </c>
      <c r="H54" s="19">
        <f t="shared" si="41"/>
        <v>1.5543708549119941</v>
      </c>
      <c r="I54" s="19">
        <f t="shared" si="51"/>
        <v>23.085394739199991</v>
      </c>
      <c r="J54" s="19">
        <f t="shared" si="45"/>
        <v>3.8108552533333707E-2</v>
      </c>
      <c r="K54" s="19">
        <f t="shared" si="42"/>
        <v>3.8108552533333707E-2</v>
      </c>
    </row>
    <row r="55" spans="2:11" x14ac:dyDescent="0.25">
      <c r="B55" s="15" t="s">
        <v>8</v>
      </c>
      <c r="C55" s="15">
        <v>2022</v>
      </c>
      <c r="D55" s="16">
        <v>27</v>
      </c>
      <c r="E55" s="19">
        <f t="shared" ref="E55:F55" si="55">($N$42)*D55+($N$43)*E54</f>
        <v>26.314964615168002</v>
      </c>
      <c r="F55" s="19">
        <f t="shared" si="55"/>
        <v>25.689217764556801</v>
      </c>
      <c r="G55" s="19">
        <f t="shared" si="43"/>
        <v>26.940711465779202</v>
      </c>
      <c r="H55" s="19">
        <f t="shared" si="41"/>
        <v>2.502987402444802</v>
      </c>
      <c r="I55" s="19">
        <f t="shared" si="51"/>
        <v>25.517786644479997</v>
      </c>
      <c r="J55" s="19">
        <f t="shared" si="45"/>
        <v>5.4896790945185278E-2</v>
      </c>
      <c r="K55" s="19">
        <f t="shared" si="42"/>
        <v>5.4896790945185278E-2</v>
      </c>
    </row>
    <row r="56" spans="2:11" x14ac:dyDescent="0.25">
      <c r="B56" s="15" t="s">
        <v>9</v>
      </c>
      <c r="C56" s="15">
        <v>2023</v>
      </c>
      <c r="D56" s="16">
        <v>25</v>
      </c>
      <c r="E56" s="19">
        <f t="shared" ref="E56:F56" si="56">($N$42)*D56+($N$43)*E55</f>
        <v>25.2629929230336</v>
      </c>
      <c r="F56" s="19">
        <f t="shared" si="56"/>
        <v>25.34823789133824</v>
      </c>
      <c r="G56" s="19">
        <f t="shared" si="43"/>
        <v>25.177747954728961</v>
      </c>
      <c r="H56" s="19">
        <f t="shared" si="41"/>
        <v>-0.34097987321855783</v>
      </c>
      <c r="I56" s="19">
        <f t="shared" si="51"/>
        <v>29.443698868224004</v>
      </c>
      <c r="J56" s="19">
        <f t="shared" si="45"/>
        <v>-0.17774795472896016</v>
      </c>
      <c r="K56" s="19">
        <f t="shared" si="42"/>
        <v>0.17774795472896016</v>
      </c>
    </row>
    <row r="57" spans="2:11" x14ac:dyDescent="0.25">
      <c r="B57" s="15" t="s">
        <v>10</v>
      </c>
      <c r="C57" s="15">
        <v>2023</v>
      </c>
      <c r="D57" s="16">
        <v>22</v>
      </c>
      <c r="E57" s="19">
        <f t="shared" ref="E57:F57" si="57">($N$42)*D57+($N$43)*E56</f>
        <v>22.652598584606721</v>
      </c>
      <c r="F57" s="19">
        <f t="shared" si="57"/>
        <v>23.191726445953027</v>
      </c>
      <c r="G57" s="19">
        <f t="shared" si="43"/>
        <v>22.113470723260416</v>
      </c>
      <c r="H57" s="19">
        <f t="shared" si="41"/>
        <v>-2.1565114453852203</v>
      </c>
      <c r="I57" s="19">
        <f t="shared" si="51"/>
        <v>24.836768081510403</v>
      </c>
      <c r="J57" s="19">
        <f t="shared" si="45"/>
        <v>-0.12894400370501832</v>
      </c>
      <c r="K57" s="19">
        <f t="shared" si="42"/>
        <v>0.12894400370501832</v>
      </c>
    </row>
    <row r="58" spans="2:11" x14ac:dyDescent="0.25">
      <c r="B58" s="15" t="s">
        <v>11</v>
      </c>
      <c r="C58" s="15">
        <v>2023</v>
      </c>
      <c r="D58" s="16">
        <v>20</v>
      </c>
      <c r="E58" s="19">
        <f t="shared" ref="E58:F58" si="58">($N$42)*D58+($N$43)*E57</f>
        <v>20.530519716921344</v>
      </c>
      <c r="F58" s="19">
        <f t="shared" si="58"/>
        <v>21.062761062727681</v>
      </c>
      <c r="G58" s="19">
        <f t="shared" si="43"/>
        <v>19.998278371115006</v>
      </c>
      <c r="H58" s="19">
        <f t="shared" si="41"/>
        <v>-2.1289653832253492</v>
      </c>
      <c r="I58" s="19">
        <f t="shared" si="51"/>
        <v>19.956959277875196</v>
      </c>
      <c r="J58" s="19">
        <f t="shared" si="45"/>
        <v>2.1520361062401959E-3</v>
      </c>
      <c r="K58" s="19">
        <f t="shared" si="42"/>
        <v>2.1520361062401959E-3</v>
      </c>
    </row>
    <row r="59" spans="2:11" x14ac:dyDescent="0.25">
      <c r="B59" s="15" t="s">
        <v>12</v>
      </c>
      <c r="C59" s="15">
        <v>2023</v>
      </c>
      <c r="D59" s="16">
        <v>19</v>
      </c>
      <c r="E59" s="19">
        <f t="shared" ref="E59:F59" si="59">($N$42)*D59+($N$43)*E58</f>
        <v>19.306103943384269</v>
      </c>
      <c r="F59" s="19">
        <f t="shared" si="59"/>
        <v>19.657435367252951</v>
      </c>
      <c r="G59" s="19">
        <f t="shared" si="43"/>
        <v>18.954772519515586</v>
      </c>
      <c r="H59" s="19">
        <f t="shared" si="41"/>
        <v>-1.4053256954747297</v>
      </c>
      <c r="I59" s="19">
        <f t="shared" si="51"/>
        <v>17.869312987889657</v>
      </c>
      <c r="J59" s="19">
        <f t="shared" si="45"/>
        <v>5.950984274264963E-2</v>
      </c>
      <c r="K59" s="19">
        <f t="shared" si="42"/>
        <v>5.950984274264963E-2</v>
      </c>
    </row>
    <row r="60" spans="2:11" x14ac:dyDescent="0.25">
      <c r="B60" s="15" t="s">
        <v>13</v>
      </c>
      <c r="C60" s="15">
        <v>2023</v>
      </c>
      <c r="D60" s="16">
        <v>15</v>
      </c>
      <c r="E60" s="19">
        <f t="shared" ref="E60:F60" si="60">($N$42)*D60+($N$43)*E59</f>
        <v>15.861220788676853</v>
      </c>
      <c r="F60" s="19">
        <f t="shared" si="60"/>
        <v>16.620463704392073</v>
      </c>
      <c r="G60" s="19">
        <f t="shared" si="43"/>
        <v>15.101977872961633</v>
      </c>
      <c r="H60" s="19">
        <f t="shared" si="41"/>
        <v>-3.0369716628608785</v>
      </c>
      <c r="I60" s="19">
        <f t="shared" si="51"/>
        <v>17.549446824040857</v>
      </c>
      <c r="J60" s="19">
        <f t="shared" si="45"/>
        <v>-0.16996312160272378</v>
      </c>
      <c r="K60" s="19">
        <f t="shared" si="42"/>
        <v>0.16996312160272378</v>
      </c>
    </row>
    <row r="61" spans="2:11" x14ac:dyDescent="0.25">
      <c r="B61" s="15" t="s">
        <v>2</v>
      </c>
      <c r="C61" s="15">
        <v>2023</v>
      </c>
      <c r="D61" s="16">
        <v>15</v>
      </c>
      <c r="E61" s="19">
        <f t="shared" ref="E61:F61" si="61">($N$42)*D61+($N$43)*E60</f>
        <v>15.172244157735371</v>
      </c>
      <c r="F61" s="19">
        <f t="shared" si="61"/>
        <v>15.461888067066711</v>
      </c>
      <c r="G61" s="19">
        <f t="shared" si="43"/>
        <v>14.88260024840403</v>
      </c>
      <c r="H61" s="19">
        <f t="shared" si="41"/>
        <v>-1.1585756373253631</v>
      </c>
      <c r="I61" s="19">
        <f t="shared" si="51"/>
        <v>12.065006210100755</v>
      </c>
      <c r="J61" s="19">
        <f t="shared" si="45"/>
        <v>0.19566625265994966</v>
      </c>
      <c r="K61" s="19">
        <f t="shared" si="42"/>
        <v>0.19566625265994966</v>
      </c>
    </row>
    <row r="62" spans="2:11" x14ac:dyDescent="0.25">
      <c r="B62" s="15" t="s">
        <v>4</v>
      </c>
      <c r="C62" s="15">
        <v>2023</v>
      </c>
      <c r="D62" s="16">
        <v>20</v>
      </c>
      <c r="E62" s="19">
        <f t="shared" ref="E62:F62" si="62">($N$42)*D62+($N$43)*E61</f>
        <v>19.034448831547074</v>
      </c>
      <c r="F62" s="19">
        <f t="shared" si="62"/>
        <v>18.319936678651004</v>
      </c>
      <c r="G62" s="19">
        <f t="shared" si="43"/>
        <v>19.748960984443144</v>
      </c>
      <c r="H62" s="19">
        <f t="shared" si="41"/>
        <v>2.8580486115842803</v>
      </c>
      <c r="I62" s="19">
        <f t="shared" si="51"/>
        <v>13.724024611078667</v>
      </c>
      <c r="J62" s="19">
        <f t="shared" si="45"/>
        <v>0.31379876944606666</v>
      </c>
      <c r="K62" s="19">
        <f t="shared" si="42"/>
        <v>0.31379876944606666</v>
      </c>
    </row>
    <row r="63" spans="2:11" x14ac:dyDescent="0.25">
      <c r="B63" s="15" t="s">
        <v>3</v>
      </c>
      <c r="C63" s="15">
        <v>2023</v>
      </c>
      <c r="D63" s="16">
        <v>25</v>
      </c>
      <c r="E63" s="19">
        <f t="shared" ref="E63:F63" si="63">($N$42)*D63+($N$43)*E62</f>
        <v>23.806889766309414</v>
      </c>
      <c r="F63" s="19">
        <f t="shared" si="63"/>
        <v>22.709499148777734</v>
      </c>
      <c r="G63" s="19">
        <f t="shared" si="43"/>
        <v>24.904280383841094</v>
      </c>
      <c r="H63" s="19">
        <f t="shared" si="41"/>
        <v>4.3895624701267195</v>
      </c>
      <c r="I63" s="19">
        <f t="shared" si="51"/>
        <v>22.607009596027424</v>
      </c>
      <c r="J63" s="19">
        <f t="shared" si="45"/>
        <v>9.5719616158903023E-2</v>
      </c>
      <c r="K63" s="19">
        <f t="shared" si="42"/>
        <v>9.5719616158903023E-2</v>
      </c>
    </row>
    <row r="64" spans="2:11" x14ac:dyDescent="0.25">
      <c r="B64" s="15" t="s">
        <v>5</v>
      </c>
      <c r="C64" s="15">
        <v>2023</v>
      </c>
      <c r="D64" s="16">
        <v>27</v>
      </c>
      <c r="E64" s="19">
        <f t="shared" ref="E64:F64" si="64">($N$42)*D64+($N$43)*E63</f>
        <v>26.361377953261886</v>
      </c>
      <c r="F64" s="19">
        <f t="shared" si="64"/>
        <v>25.631002192365056</v>
      </c>
      <c r="G64" s="19">
        <f t="shared" si="43"/>
        <v>27.091753714158717</v>
      </c>
      <c r="H64" s="19">
        <f t="shared" si="41"/>
        <v>2.9215030435873217</v>
      </c>
      <c r="I64" s="19">
        <f t="shared" si="51"/>
        <v>29.293842853967814</v>
      </c>
      <c r="J64" s="19">
        <f t="shared" si="45"/>
        <v>-8.4957142739548644E-2</v>
      </c>
      <c r="K64" s="19">
        <f t="shared" si="42"/>
        <v>8.4957142739548644E-2</v>
      </c>
    </row>
    <row r="65" spans="2:11" x14ac:dyDescent="0.25">
      <c r="B65" s="15" t="s">
        <v>6</v>
      </c>
      <c r="C65" s="15">
        <v>2023</v>
      </c>
      <c r="D65" s="16">
        <v>30</v>
      </c>
      <c r="E65" s="19">
        <f t="shared" ref="E65:F65" si="65">($N$42)*D65+($N$43)*E64</f>
        <v>29.272275590652377</v>
      </c>
      <c r="F65" s="19">
        <f t="shared" si="65"/>
        <v>28.544020910994917</v>
      </c>
      <c r="G65" s="19">
        <f t="shared" si="43"/>
        <v>30.000530270309838</v>
      </c>
      <c r="H65" s="19">
        <f t="shared" si="41"/>
        <v>2.9130187186298429</v>
      </c>
      <c r="I65" s="19">
        <f t="shared" si="51"/>
        <v>30.013256757746039</v>
      </c>
      <c r="J65" s="19">
        <f t="shared" si="45"/>
        <v>-4.4189192486795054E-4</v>
      </c>
      <c r="K65" s="19">
        <f t="shared" si="42"/>
        <v>4.4189192486795054E-4</v>
      </c>
    </row>
    <row r="66" spans="2:11" x14ac:dyDescent="0.25">
      <c r="B66" s="15" t="s">
        <v>7</v>
      </c>
      <c r="C66" s="15">
        <v>2023</v>
      </c>
      <c r="D66" s="16">
        <v>32</v>
      </c>
      <c r="E66" s="19">
        <f t="shared" ref="E66:F66" si="66">($N$42)*D66+($N$43)*E65</f>
        <v>31.454455118130475</v>
      </c>
      <c r="F66" s="19">
        <f t="shared" si="66"/>
        <v>30.872368276703362</v>
      </c>
      <c r="G66" s="19">
        <f t="shared" si="43"/>
        <v>32.036541959557589</v>
      </c>
      <c r="H66" s="19">
        <f t="shared" si="41"/>
        <v>2.3283473657084528</v>
      </c>
      <c r="I66" s="19">
        <f t="shared" si="51"/>
        <v>32.913548988939681</v>
      </c>
      <c r="J66" s="19">
        <f t="shared" si="45"/>
        <v>-2.8548405904365026E-2</v>
      </c>
      <c r="K66" s="19">
        <f t="shared" si="42"/>
        <v>2.8548405904365026E-2</v>
      </c>
    </row>
    <row r="67" spans="2:11" x14ac:dyDescent="0.25">
      <c r="B67" s="15" t="s">
        <v>8</v>
      </c>
      <c r="C67" s="15">
        <v>2023</v>
      </c>
      <c r="D67" s="16">
        <v>32</v>
      </c>
      <c r="E67" s="19">
        <f t="shared" ref="E67:F67" si="67">($N$42)*D67+($N$43)*E66</f>
        <v>31.890891023626097</v>
      </c>
      <c r="F67" s="19">
        <f t="shared" si="67"/>
        <v>31.687186474241553</v>
      </c>
      <c r="G67" s="19">
        <f t="shared" si="43"/>
        <v>32.094595573010636</v>
      </c>
      <c r="H67" s="19">
        <f t="shared" si="41"/>
        <v>0.81481819753817319</v>
      </c>
      <c r="I67" s="19">
        <f t="shared" si="51"/>
        <v>34.364889325266041</v>
      </c>
      <c r="J67" s="19">
        <f t="shared" si="45"/>
        <v>-7.3902791414563795E-2</v>
      </c>
      <c r="K67" s="19">
        <f t="shared" si="42"/>
        <v>7.3902791414563795E-2</v>
      </c>
    </row>
    <row r="68" spans="2:11" x14ac:dyDescent="0.25">
      <c r="B68" s="15" t="s">
        <v>9</v>
      </c>
      <c r="C68" s="15">
        <v>2024</v>
      </c>
      <c r="D68" s="16">
        <v>29</v>
      </c>
      <c r="E68" s="19">
        <f t="shared" ref="E68:F68" si="68">($N$42)*D68+($N$43)*E67</f>
        <v>29.578178204725223</v>
      </c>
      <c r="F68" s="19">
        <f t="shared" si="68"/>
        <v>29.999979858628489</v>
      </c>
      <c r="G68" s="19">
        <f t="shared" si="43"/>
        <v>29.156376550821957</v>
      </c>
      <c r="H68" s="19">
        <f t="shared" si="41"/>
        <v>-1.6872066156130643</v>
      </c>
      <c r="I68" s="19">
        <f t="shared" si="51"/>
        <v>32.909413770548809</v>
      </c>
      <c r="J68" s="19">
        <f t="shared" si="45"/>
        <v>-0.13480737139823482</v>
      </c>
      <c r="K68" s="19">
        <f t="shared" si="42"/>
        <v>0.13480737139823482</v>
      </c>
    </row>
    <row r="69" spans="2:11" x14ac:dyDescent="0.25">
      <c r="B69" s="15" t="s">
        <v>10</v>
      </c>
      <c r="C69" s="15">
        <v>2024</v>
      </c>
      <c r="D69" s="16">
        <v>26</v>
      </c>
      <c r="E69" s="19">
        <f t="shared" ref="E69:F69" si="69">($N$42)*D69+($N$43)*E68</f>
        <v>26.715635640945045</v>
      </c>
      <c r="F69" s="19">
        <f t="shared" si="69"/>
        <v>27.372504484481738</v>
      </c>
      <c r="G69" s="19">
        <f t="shared" si="43"/>
        <v>26.058766797408353</v>
      </c>
      <c r="H69" s="19">
        <f t="shared" si="41"/>
        <v>-2.6274753741467691</v>
      </c>
      <c r="I69" s="19">
        <f t="shared" si="51"/>
        <v>27.469169935208892</v>
      </c>
      <c r="J69" s="19">
        <f t="shared" si="45"/>
        <v>-5.6506535969572787E-2</v>
      </c>
      <c r="K69" s="19">
        <f t="shared" si="42"/>
        <v>5.6506535969572787E-2</v>
      </c>
    </row>
    <row r="70" spans="2:11" x14ac:dyDescent="0.25">
      <c r="B70" s="15" t="s">
        <v>11</v>
      </c>
      <c r="C70" s="15">
        <v>2024</v>
      </c>
      <c r="D70" s="16">
        <v>24</v>
      </c>
      <c r="E70" s="19">
        <f t="shared" ref="E70:F70" si="70">($N$42)*D70+($N$43)*E69</f>
        <v>24.543127128189013</v>
      </c>
      <c r="F70" s="19">
        <f t="shared" si="70"/>
        <v>25.10900259944756</v>
      </c>
      <c r="G70" s="19">
        <f t="shared" si="43"/>
        <v>23.977251656930466</v>
      </c>
      <c r="H70" s="19">
        <f t="shared" si="41"/>
        <v>-2.2635018850341879</v>
      </c>
      <c r="I70" s="19">
        <f t="shared" si="51"/>
        <v>23.431291423261584</v>
      </c>
      <c r="J70" s="19">
        <f t="shared" si="45"/>
        <v>2.3696190697434005E-2</v>
      </c>
      <c r="K70" s="19">
        <f t="shared" si="42"/>
        <v>2.3696190697434005E-2</v>
      </c>
    </row>
    <row r="71" spans="2:11" x14ac:dyDescent="0.25">
      <c r="B71" s="15" t="s">
        <v>12</v>
      </c>
      <c r="C71" s="15">
        <v>2024</v>
      </c>
      <c r="D71" s="16">
        <v>20</v>
      </c>
      <c r="E71" s="19">
        <f t="shared" ref="E71:F71" si="71">($N$42)*D71+($N$43)*E70</f>
        <v>20.908625425637801</v>
      </c>
      <c r="F71" s="19">
        <f t="shared" si="71"/>
        <v>21.748700860399754</v>
      </c>
      <c r="G71" s="19">
        <f t="shared" si="43"/>
        <v>20.068549990875848</v>
      </c>
      <c r="H71" s="19">
        <f t="shared" si="41"/>
        <v>-3.3603017390478129</v>
      </c>
      <c r="I71" s="19">
        <f t="shared" si="51"/>
        <v>21.713749771896278</v>
      </c>
      <c r="J71" s="19">
        <f t="shared" si="45"/>
        <v>-8.5687488594813926E-2</v>
      </c>
      <c r="K71" s="19">
        <f t="shared" si="42"/>
        <v>8.5687488594813926E-2</v>
      </c>
    </row>
    <row r="72" spans="2:11" x14ac:dyDescent="0.25">
      <c r="B72" s="15" t="s">
        <v>13</v>
      </c>
      <c r="C72" s="15">
        <v>2024</v>
      </c>
      <c r="D72" s="16">
        <v>18</v>
      </c>
      <c r="E72" s="19">
        <f t="shared" ref="E72:F72" si="72">($N$42)*D72+($N$43)*E71</f>
        <v>18.581725085127559</v>
      </c>
      <c r="F72" s="19">
        <f t="shared" si="72"/>
        <v>19.215120240181999</v>
      </c>
      <c r="G72" s="19">
        <f t="shared" si="43"/>
        <v>17.948329930073118</v>
      </c>
      <c r="H72" s="19">
        <f t="shared" si="41"/>
        <v>-2.5335806202177622</v>
      </c>
      <c r="I72" s="19">
        <f t="shared" si="51"/>
        <v>16.708248251828035</v>
      </c>
      <c r="J72" s="19">
        <f t="shared" si="45"/>
        <v>7.176398600955361E-2</v>
      </c>
      <c r="K72" s="19">
        <f t="shared" si="42"/>
        <v>7.176398600955361E-2</v>
      </c>
    </row>
    <row r="73" spans="2:11" x14ac:dyDescent="0.25">
      <c r="B73" s="15" t="s">
        <v>2</v>
      </c>
      <c r="C73" s="15">
        <v>2024</v>
      </c>
      <c r="D73" s="16">
        <v>16</v>
      </c>
      <c r="E73" s="19">
        <f t="shared" ref="E73:F73" si="73">($N$42)*D73+($N$43)*E72</f>
        <v>16.516345017025515</v>
      </c>
      <c r="F73" s="19">
        <f t="shared" si="73"/>
        <v>17.056100061656814</v>
      </c>
      <c r="G73" s="19">
        <f t="shared" si="43"/>
        <v>15.976589972394216</v>
      </c>
      <c r="H73" s="19">
        <f t="shared" si="41"/>
        <v>-2.1590201785251963</v>
      </c>
      <c r="I73" s="19">
        <f t="shared" si="51"/>
        <v>15.414749309855356</v>
      </c>
      <c r="J73" s="19">
        <f t="shared" si="45"/>
        <v>3.6578168134040245E-2</v>
      </c>
      <c r="K73" s="19">
        <f t="shared" si="42"/>
        <v>3.6578168134040245E-2</v>
      </c>
    </row>
    <row r="74" spans="2:11" x14ac:dyDescent="0.25">
      <c r="B74" s="15" t="s">
        <v>4</v>
      </c>
      <c r="C74" s="15">
        <v>2024</v>
      </c>
      <c r="D74" s="16">
        <v>21</v>
      </c>
      <c r="E74" s="19">
        <f t="shared" ref="E74:F74" si="74">($N$42)*D74+($N$43)*E73</f>
        <v>20.103269003405103</v>
      </c>
      <c r="F74" s="19">
        <f t="shared" si="74"/>
        <v>19.493835215055444</v>
      </c>
      <c r="G74" s="19">
        <f t="shared" si="43"/>
        <v>20.712702791754761</v>
      </c>
      <c r="H74" s="19">
        <f t="shared" si="41"/>
        <v>2.4377351533986342</v>
      </c>
      <c r="I74" s="19">
        <f t="shared" si="51"/>
        <v>13.817569793869019</v>
      </c>
      <c r="J74" s="19">
        <f t="shared" si="45"/>
        <v>0.34202048600623719</v>
      </c>
      <c r="K74" s="19">
        <f t="shared" si="42"/>
        <v>0.34202048600623719</v>
      </c>
    </row>
    <row r="75" spans="2:11" x14ac:dyDescent="0.25">
      <c r="B75" s="15" t="s">
        <v>3</v>
      </c>
      <c r="C75" s="15">
        <v>2024</v>
      </c>
      <c r="D75" s="16">
        <v>23</v>
      </c>
      <c r="E75" s="19">
        <f t="shared" ref="E75:F75" si="75">($N$42)*D75+($N$43)*E74</f>
        <v>22.420653800681023</v>
      </c>
      <c r="F75" s="19">
        <f t="shared" si="75"/>
        <v>21.835290083555911</v>
      </c>
      <c r="G75" s="19">
        <f t="shared" si="43"/>
        <v>23.006017517806136</v>
      </c>
      <c r="H75" s="19">
        <f t="shared" si="41"/>
        <v>2.341454868500449</v>
      </c>
      <c r="I75" s="19">
        <f t="shared" si="51"/>
        <v>23.150437945153396</v>
      </c>
      <c r="J75" s="19">
        <f t="shared" si="45"/>
        <v>-6.5407802240606827E-3</v>
      </c>
      <c r="K75" s="19">
        <f t="shared" si="42"/>
        <v>6.5407802240606827E-3</v>
      </c>
    </row>
    <row r="76" spans="2:11" x14ac:dyDescent="0.25">
      <c r="B76" s="15" t="s">
        <v>5</v>
      </c>
      <c r="C76" s="15">
        <v>2024</v>
      </c>
      <c r="D76" s="16">
        <v>24</v>
      </c>
      <c r="E76" s="19">
        <f t="shared" ref="E76:F76" si="76">($N$42)*D76+($N$43)*E75</f>
        <v>23.684130760136206</v>
      </c>
      <c r="F76" s="19">
        <f t="shared" si="76"/>
        <v>23.314362624820149</v>
      </c>
      <c r="G76" s="19">
        <f t="shared" si="43"/>
        <v>24.053898895452264</v>
      </c>
      <c r="H76" s="19">
        <f t="shared" si="41"/>
        <v>1.4790725412642303</v>
      </c>
      <c r="I76" s="19">
        <f t="shared" si="51"/>
        <v>25.347472386306585</v>
      </c>
      <c r="J76" s="19">
        <f t="shared" si="45"/>
        <v>-5.6144682762774366E-2</v>
      </c>
      <c r="K76" s="19">
        <f t="shared" si="42"/>
        <v>5.6144682762774366E-2</v>
      </c>
    </row>
    <row r="77" spans="2:11" x14ac:dyDescent="0.25">
      <c r="B77" s="15" t="s">
        <v>6</v>
      </c>
      <c r="C77" s="15">
        <v>2024</v>
      </c>
      <c r="D77" s="16">
        <v>28</v>
      </c>
      <c r="E77" s="19">
        <f t="shared" ref="E77:F77" si="77">($N$42)*D77+($N$43)*E76</f>
        <v>27.136826152027243</v>
      </c>
      <c r="F77" s="19">
        <f t="shared" si="77"/>
        <v>26.372333446585827</v>
      </c>
      <c r="G77" s="19">
        <f t="shared" si="43"/>
        <v>27.901318857468659</v>
      </c>
      <c r="H77" s="19">
        <f t="shared" si="41"/>
        <v>3.0579708217656645</v>
      </c>
      <c r="I77" s="19">
        <f t="shared" si="51"/>
        <v>25.532971436716494</v>
      </c>
      <c r="J77" s="19">
        <f t="shared" si="45"/>
        <v>8.8108162974410931E-2</v>
      </c>
      <c r="K77" s="19">
        <f t="shared" si="42"/>
        <v>8.8108162974410931E-2</v>
      </c>
    </row>
    <row r="78" spans="2:11" x14ac:dyDescent="0.25">
      <c r="B78" s="15" t="s">
        <v>7</v>
      </c>
      <c r="C78" s="15">
        <v>2024</v>
      </c>
      <c r="D78" s="16">
        <v>29</v>
      </c>
      <c r="E78" s="19">
        <f t="shared" ref="E78:F78" si="78">($N$42)*D78+($N$43)*E77</f>
        <v>28.627365230405452</v>
      </c>
      <c r="F78" s="19">
        <f t="shared" si="78"/>
        <v>28.176358873641529</v>
      </c>
      <c r="G78" s="19">
        <f t="shared" si="43"/>
        <v>29.078371587169375</v>
      </c>
      <c r="H78" s="19">
        <f t="shared" si="41"/>
        <v>1.8040254270556915</v>
      </c>
      <c r="I78" s="19">
        <f t="shared" si="51"/>
        <v>30.959289679234324</v>
      </c>
      <c r="J78" s="19">
        <f t="shared" si="45"/>
        <v>-6.7561713077045657E-2</v>
      </c>
      <c r="K78" s="19">
        <f t="shared" si="42"/>
        <v>6.7561713077045657E-2</v>
      </c>
    </row>
    <row r="79" spans="2:11" x14ac:dyDescent="0.25">
      <c r="B79" s="21" t="s">
        <v>8</v>
      </c>
      <c r="C79" s="21">
        <v>2024</v>
      </c>
      <c r="D79" s="22"/>
      <c r="E79" s="8"/>
      <c r="F79" s="8"/>
      <c r="G79" s="8"/>
      <c r="H79" s="8"/>
      <c r="I79" s="8">
        <f>G78+H78</f>
        <v>30.882397014225067</v>
      </c>
      <c r="J79" s="8" t="s">
        <v>21</v>
      </c>
      <c r="K79" s="20">
        <f>100/36*SUM(K44:K78)</f>
        <v>10.465492500081064</v>
      </c>
    </row>
    <row r="83" spans="2:14" x14ac:dyDescent="0.25">
      <c r="B83" s="18" t="s">
        <v>0</v>
      </c>
      <c r="C83" s="18" t="s">
        <v>1</v>
      </c>
      <c r="D83" s="18" t="s">
        <v>22</v>
      </c>
      <c r="E83" s="18" t="s">
        <v>14</v>
      </c>
      <c r="F83" s="18" t="s">
        <v>15</v>
      </c>
      <c r="G83" s="18" t="s">
        <v>16</v>
      </c>
      <c r="H83" s="18" t="s">
        <v>17</v>
      </c>
      <c r="I83" s="18" t="s">
        <v>18</v>
      </c>
      <c r="J83" s="18" t="s">
        <v>19</v>
      </c>
      <c r="K83" s="18" t="s">
        <v>20</v>
      </c>
      <c r="N83" s="11">
        <v>0.7</v>
      </c>
    </row>
    <row r="84" spans="2:14" x14ac:dyDescent="0.25">
      <c r="B84" s="15" t="s">
        <v>8</v>
      </c>
      <c r="C84" s="15">
        <v>2021</v>
      </c>
      <c r="D84" s="16">
        <v>20</v>
      </c>
      <c r="E84" s="19">
        <v>20</v>
      </c>
      <c r="F84" s="19">
        <v>20</v>
      </c>
      <c r="G84" s="19">
        <v>20</v>
      </c>
      <c r="H84" s="19">
        <v>0</v>
      </c>
      <c r="I84" s="19"/>
      <c r="J84" s="19"/>
      <c r="K84" s="19"/>
      <c r="N84" s="11">
        <v>0.3</v>
      </c>
    </row>
    <row r="85" spans="2:14" x14ac:dyDescent="0.25">
      <c r="B85" s="15" t="s">
        <v>9</v>
      </c>
      <c r="C85" s="15">
        <v>2022</v>
      </c>
      <c r="D85" s="16">
        <v>17</v>
      </c>
      <c r="E85" s="19">
        <f>($N$83)*D85+($N$84)*E84</f>
        <v>17.899999999999999</v>
      </c>
      <c r="F85" s="19">
        <f>($N$83)*E85+($N$84)*F84</f>
        <v>18.529999999999998</v>
      </c>
      <c r="G85" s="19">
        <f>2*(E85)-(F85)</f>
        <v>17.27</v>
      </c>
      <c r="H85" s="19">
        <f>$N$83/$N$84*(E85-F85)</f>
        <v>-1.4699999999999978</v>
      </c>
      <c r="I85" s="19">
        <f>G84+H84</f>
        <v>20</v>
      </c>
      <c r="J85" s="19">
        <f>(D85-I85)/D85</f>
        <v>-0.17647058823529413</v>
      </c>
      <c r="K85" s="19">
        <f>ABS(J85)</f>
        <v>0.17647058823529413</v>
      </c>
    </row>
    <row r="86" spans="2:14" x14ac:dyDescent="0.25">
      <c r="B86" s="15" t="s">
        <v>10</v>
      </c>
      <c r="C86" s="15">
        <v>2022</v>
      </c>
      <c r="D86" s="16">
        <v>16</v>
      </c>
      <c r="E86" s="19">
        <f t="shared" ref="E86:F86" si="79">($N$83)*D86+($N$84)*E85</f>
        <v>16.57</v>
      </c>
      <c r="F86" s="19">
        <f t="shared" si="79"/>
        <v>17.158000000000001</v>
      </c>
      <c r="G86" s="19">
        <f t="shared" ref="G86:G119" si="80">2*(E86)-(F86)</f>
        <v>15.981999999999999</v>
      </c>
      <c r="H86" s="19">
        <f t="shared" ref="H86:H119" si="81">$N$83/$N$84*(E86-F86)</f>
        <v>-1.3720000000000023</v>
      </c>
      <c r="I86" s="19">
        <f t="shared" ref="I86:I118" si="82">G85+H85</f>
        <v>15.800000000000002</v>
      </c>
      <c r="J86" s="19">
        <f>(D86-I86)/D86</f>
        <v>1.2499999999999845E-2</v>
      </c>
      <c r="K86" s="19">
        <f t="shared" ref="K86:K119" si="83">ABS(J86)</f>
        <v>1.2499999999999845E-2</v>
      </c>
      <c r="N86" t="s">
        <v>33</v>
      </c>
    </row>
    <row r="87" spans="2:14" x14ac:dyDescent="0.25">
      <c r="B87" s="15" t="s">
        <v>11</v>
      </c>
      <c r="C87" s="15">
        <v>2022</v>
      </c>
      <c r="D87" s="16">
        <v>15</v>
      </c>
      <c r="E87" s="19">
        <f t="shared" ref="E87:F87" si="84">($N$83)*D87+($N$84)*E86</f>
        <v>15.471</v>
      </c>
      <c r="F87" s="19">
        <f t="shared" si="84"/>
        <v>15.9771</v>
      </c>
      <c r="G87" s="19">
        <f t="shared" si="80"/>
        <v>14.9649</v>
      </c>
      <c r="H87" s="19">
        <f t="shared" si="81"/>
        <v>-1.1809000000000001</v>
      </c>
      <c r="I87" s="19">
        <f t="shared" si="82"/>
        <v>14.609999999999998</v>
      </c>
      <c r="J87" s="19">
        <f t="shared" ref="J87:J118" si="85">(D87-I87)/D87</f>
        <v>2.6000000000000155E-2</v>
      </c>
      <c r="K87" s="19">
        <f t="shared" si="83"/>
        <v>2.6000000000000155E-2</v>
      </c>
    </row>
    <row r="88" spans="2:14" x14ac:dyDescent="0.25">
      <c r="B88" s="15" t="s">
        <v>12</v>
      </c>
      <c r="C88" s="15">
        <v>2022</v>
      </c>
      <c r="D88" s="16">
        <v>15</v>
      </c>
      <c r="E88" s="19">
        <f t="shared" ref="E88:F88" si="86">($N$83)*D88+($N$84)*E87</f>
        <v>15.141300000000001</v>
      </c>
      <c r="F88" s="19">
        <f t="shared" si="86"/>
        <v>15.39204</v>
      </c>
      <c r="G88" s="19">
        <f t="shared" si="80"/>
        <v>14.890560000000002</v>
      </c>
      <c r="H88" s="19">
        <f t="shared" si="81"/>
        <v>-0.5850599999999968</v>
      </c>
      <c r="I88" s="19">
        <f t="shared" si="82"/>
        <v>13.784000000000001</v>
      </c>
      <c r="J88" s="19">
        <f t="shared" si="85"/>
        <v>8.106666666666662E-2</v>
      </c>
      <c r="K88" s="19">
        <f>ABS(J88)</f>
        <v>8.106666666666662E-2</v>
      </c>
    </row>
    <row r="89" spans="2:14" x14ac:dyDescent="0.25">
      <c r="B89" s="15" t="s">
        <v>13</v>
      </c>
      <c r="C89" s="15">
        <v>2022</v>
      </c>
      <c r="D89" s="16">
        <v>12</v>
      </c>
      <c r="E89" s="19">
        <f t="shared" ref="E89:F89" si="87">($N$83)*D89+($N$84)*E88</f>
        <v>12.94239</v>
      </c>
      <c r="F89" s="19">
        <f t="shared" si="87"/>
        <v>13.677284999999998</v>
      </c>
      <c r="G89" s="19">
        <f t="shared" si="80"/>
        <v>12.207495000000002</v>
      </c>
      <c r="H89" s="19">
        <f t="shared" si="81"/>
        <v>-1.7147549999999956</v>
      </c>
      <c r="I89" s="19">
        <f t="shared" si="82"/>
        <v>14.305500000000006</v>
      </c>
      <c r="J89" s="19">
        <f t="shared" si="85"/>
        <v>-0.19212500000000046</v>
      </c>
      <c r="K89" s="19">
        <f t="shared" si="83"/>
        <v>0.19212500000000046</v>
      </c>
    </row>
    <row r="90" spans="2:14" x14ac:dyDescent="0.25">
      <c r="B90" s="15" t="s">
        <v>2</v>
      </c>
      <c r="C90" s="15">
        <v>2022</v>
      </c>
      <c r="D90" s="16">
        <v>11</v>
      </c>
      <c r="E90" s="19">
        <f t="shared" ref="E90:F90" si="88">($N$83)*D90+($N$84)*E89</f>
        <v>11.582716999999999</v>
      </c>
      <c r="F90" s="19">
        <f t="shared" si="88"/>
        <v>12.211087399999997</v>
      </c>
      <c r="G90" s="19">
        <f t="shared" si="80"/>
        <v>10.954346600000001</v>
      </c>
      <c r="H90" s="19">
        <f t="shared" si="81"/>
        <v>-1.4661975999999952</v>
      </c>
      <c r="I90" s="19">
        <f t="shared" si="82"/>
        <v>10.492740000000007</v>
      </c>
      <c r="J90" s="19">
        <f t="shared" si="85"/>
        <v>4.6114545454544853E-2</v>
      </c>
      <c r="K90" s="19">
        <f t="shared" si="83"/>
        <v>4.6114545454544853E-2</v>
      </c>
    </row>
    <row r="91" spans="2:14" x14ac:dyDescent="0.25">
      <c r="B91" s="15" t="s">
        <v>4</v>
      </c>
      <c r="C91" s="15">
        <v>2022</v>
      </c>
      <c r="D91" s="16">
        <v>15</v>
      </c>
      <c r="E91" s="19">
        <f t="shared" ref="E91:F91" si="89">($N$83)*D91+($N$84)*E90</f>
        <v>13.974815099999999</v>
      </c>
      <c r="F91" s="19">
        <f t="shared" si="89"/>
        <v>13.445696789999998</v>
      </c>
      <c r="G91" s="19">
        <f t="shared" si="80"/>
        <v>14.50393341</v>
      </c>
      <c r="H91" s="19">
        <f t="shared" si="81"/>
        <v>1.2346093900000028</v>
      </c>
      <c r="I91" s="19">
        <f t="shared" si="82"/>
        <v>9.4881490000000053</v>
      </c>
      <c r="J91" s="19">
        <f>(D91-I91)/D91</f>
        <v>0.36745673333333301</v>
      </c>
      <c r="K91" s="19">
        <f t="shared" si="83"/>
        <v>0.36745673333333301</v>
      </c>
    </row>
    <row r="92" spans="2:14" x14ac:dyDescent="0.25">
      <c r="B92" s="15" t="s">
        <v>3</v>
      </c>
      <c r="C92" s="15">
        <v>2022</v>
      </c>
      <c r="D92" s="16">
        <v>20</v>
      </c>
      <c r="E92" s="19">
        <f t="shared" ref="E92:F92" si="90">($N$83)*D92+($N$84)*E91</f>
        <v>18.19244453</v>
      </c>
      <c r="F92" s="19">
        <f t="shared" si="90"/>
        <v>16.768420207999998</v>
      </c>
      <c r="G92" s="19">
        <f t="shared" si="80"/>
        <v>19.616468852000001</v>
      </c>
      <c r="H92" s="19">
        <f t="shared" si="81"/>
        <v>3.3227234180000025</v>
      </c>
      <c r="I92" s="19">
        <f t="shared" si="82"/>
        <v>15.738542800000003</v>
      </c>
      <c r="J92" s="19">
        <f t="shared" si="85"/>
        <v>0.21307285999999986</v>
      </c>
      <c r="K92" s="19">
        <f t="shared" si="83"/>
        <v>0.21307285999999986</v>
      </c>
    </row>
    <row r="93" spans="2:14" x14ac:dyDescent="0.25">
      <c r="B93" s="15" t="s">
        <v>5</v>
      </c>
      <c r="C93" s="15">
        <v>2022</v>
      </c>
      <c r="D93" s="16">
        <v>22</v>
      </c>
      <c r="E93" s="19">
        <f t="shared" ref="E93:F93" si="91">($N$83)*D93+($N$84)*E92</f>
        <v>20.857733358999997</v>
      </c>
      <c r="F93" s="19">
        <f t="shared" si="91"/>
        <v>19.630939413699995</v>
      </c>
      <c r="G93" s="19">
        <f t="shared" si="80"/>
        <v>22.0845273043</v>
      </c>
      <c r="H93" s="19">
        <f t="shared" si="81"/>
        <v>2.8625192057000062</v>
      </c>
      <c r="I93" s="19">
        <f t="shared" si="82"/>
        <v>22.939192270000003</v>
      </c>
      <c r="J93" s="19">
        <f t="shared" si="85"/>
        <v>-4.2690557727272864E-2</v>
      </c>
      <c r="K93" s="19">
        <f t="shared" si="83"/>
        <v>4.2690557727272864E-2</v>
      </c>
    </row>
    <row r="94" spans="2:14" x14ac:dyDescent="0.25">
      <c r="B94" s="15" t="s">
        <v>6</v>
      </c>
      <c r="C94" s="15">
        <v>2022</v>
      </c>
      <c r="D94" s="16">
        <v>22</v>
      </c>
      <c r="E94" s="19">
        <f t="shared" ref="E94:F94" si="92">($N$83)*D94+($N$84)*E93</f>
        <v>21.657320007699997</v>
      </c>
      <c r="F94" s="19">
        <f t="shared" si="92"/>
        <v>21.049405829499996</v>
      </c>
      <c r="G94" s="19">
        <f t="shared" si="80"/>
        <v>22.265234185899999</v>
      </c>
      <c r="H94" s="19">
        <f t="shared" si="81"/>
        <v>1.4184664158000035</v>
      </c>
      <c r="I94" s="19">
        <f t="shared" si="82"/>
        <v>24.947046510000007</v>
      </c>
      <c r="J94" s="19">
        <f t="shared" si="85"/>
        <v>-0.13395665954545485</v>
      </c>
      <c r="K94" s="19">
        <f t="shared" si="83"/>
        <v>0.13395665954545485</v>
      </c>
    </row>
    <row r="95" spans="2:14" x14ac:dyDescent="0.25">
      <c r="B95" s="15" t="s">
        <v>7</v>
      </c>
      <c r="C95" s="15">
        <v>2022</v>
      </c>
      <c r="D95" s="16">
        <v>24</v>
      </c>
      <c r="E95" s="19">
        <f t="shared" ref="E95:F95" si="93">($N$83)*D95+($N$84)*E94</f>
        <v>23.297196002309995</v>
      </c>
      <c r="F95" s="19">
        <f t="shared" si="93"/>
        <v>22.622858950466995</v>
      </c>
      <c r="G95" s="19">
        <f t="shared" si="80"/>
        <v>23.971533054152996</v>
      </c>
      <c r="H95" s="19">
        <f t="shared" si="81"/>
        <v>1.5734531209670013</v>
      </c>
      <c r="I95" s="19">
        <f t="shared" si="82"/>
        <v>23.683700601700004</v>
      </c>
      <c r="J95" s="19">
        <f t="shared" si="85"/>
        <v>1.3179141595833185E-2</v>
      </c>
      <c r="K95" s="19">
        <f t="shared" si="83"/>
        <v>1.3179141595833185E-2</v>
      </c>
    </row>
    <row r="96" spans="2:14" x14ac:dyDescent="0.25">
      <c r="B96" s="15" t="s">
        <v>8</v>
      </c>
      <c r="C96" s="15">
        <v>2022</v>
      </c>
      <c r="D96" s="16">
        <v>27</v>
      </c>
      <c r="E96" s="19">
        <f t="shared" ref="E96:F96" si="94">($N$83)*D96+($N$84)*E95</f>
        <v>25.889158800692996</v>
      </c>
      <c r="F96" s="19">
        <f t="shared" si="94"/>
        <v>24.909268845625196</v>
      </c>
      <c r="G96" s="19">
        <f t="shared" si="80"/>
        <v>26.869048755760797</v>
      </c>
      <c r="H96" s="19">
        <f t="shared" si="81"/>
        <v>2.2864098951582021</v>
      </c>
      <c r="I96" s="19">
        <f t="shared" si="82"/>
        <v>25.544986175119998</v>
      </c>
      <c r="J96" s="19">
        <f t="shared" si="85"/>
        <v>5.3889400921481548E-2</v>
      </c>
      <c r="K96" s="19">
        <f t="shared" si="83"/>
        <v>5.3889400921481548E-2</v>
      </c>
    </row>
    <row r="97" spans="2:11" x14ac:dyDescent="0.25">
      <c r="B97" s="15" t="s">
        <v>9</v>
      </c>
      <c r="C97" s="15">
        <v>2023</v>
      </c>
      <c r="D97" s="16">
        <v>25</v>
      </c>
      <c r="E97" s="19">
        <f t="shared" ref="E97:F97" si="95">($N$83)*D97+($N$84)*E96</f>
        <v>25.2667476402079</v>
      </c>
      <c r="F97" s="19">
        <f t="shared" si="95"/>
        <v>25.159504001833085</v>
      </c>
      <c r="G97" s="19">
        <f t="shared" si="80"/>
        <v>25.373991278582714</v>
      </c>
      <c r="H97" s="19">
        <f t="shared" si="81"/>
        <v>0.25023515620790115</v>
      </c>
      <c r="I97" s="19">
        <f t="shared" si="82"/>
        <v>29.155458650918998</v>
      </c>
      <c r="J97" s="19">
        <f t="shared" si="85"/>
        <v>-0.16621834603675992</v>
      </c>
      <c r="K97" s="19">
        <f t="shared" si="83"/>
        <v>0.16621834603675992</v>
      </c>
    </row>
    <row r="98" spans="2:11" x14ac:dyDescent="0.25">
      <c r="B98" s="15" t="s">
        <v>10</v>
      </c>
      <c r="C98" s="15">
        <v>2023</v>
      </c>
      <c r="D98" s="16">
        <v>22</v>
      </c>
      <c r="E98" s="19">
        <f t="shared" ref="E98:F98" si="96">($N$83)*D98+($N$84)*E97</f>
        <v>22.980024292062367</v>
      </c>
      <c r="F98" s="19">
        <f t="shared" si="96"/>
        <v>23.633868204993583</v>
      </c>
      <c r="G98" s="19">
        <f t="shared" si="80"/>
        <v>22.326180379131152</v>
      </c>
      <c r="H98" s="19">
        <f t="shared" si="81"/>
        <v>-1.5256357968395022</v>
      </c>
      <c r="I98" s="19">
        <f t="shared" si="82"/>
        <v>25.624226434790614</v>
      </c>
      <c r="J98" s="19">
        <f t="shared" si="85"/>
        <v>-0.16473756521775521</v>
      </c>
      <c r="K98" s="19">
        <f t="shared" si="83"/>
        <v>0.16473756521775521</v>
      </c>
    </row>
    <row r="99" spans="2:11" x14ac:dyDescent="0.25">
      <c r="B99" s="15" t="s">
        <v>11</v>
      </c>
      <c r="C99" s="15">
        <v>2023</v>
      </c>
      <c r="D99" s="16">
        <v>20</v>
      </c>
      <c r="E99" s="19">
        <f t="shared" ref="E99:F99" si="97">($N$83)*D99+($N$84)*E98</f>
        <v>20.89400728761871</v>
      </c>
      <c r="F99" s="19">
        <f t="shared" si="97"/>
        <v>21.715965562831173</v>
      </c>
      <c r="G99" s="19">
        <f t="shared" si="80"/>
        <v>20.072049012406247</v>
      </c>
      <c r="H99" s="19">
        <f t="shared" si="81"/>
        <v>-1.9179026421624139</v>
      </c>
      <c r="I99" s="19">
        <f t="shared" si="82"/>
        <v>20.80054458229165</v>
      </c>
      <c r="J99" s="19">
        <f t="shared" si="85"/>
        <v>-4.0027229114582494E-2</v>
      </c>
      <c r="K99" s="19">
        <f t="shared" si="83"/>
        <v>4.0027229114582494E-2</v>
      </c>
    </row>
    <row r="100" spans="2:11" x14ac:dyDescent="0.25">
      <c r="B100" s="15" t="s">
        <v>12</v>
      </c>
      <c r="C100" s="15">
        <v>2023</v>
      </c>
      <c r="D100" s="16">
        <v>19</v>
      </c>
      <c r="E100" s="19">
        <f t="shared" ref="E100:F100" si="98">($N$83)*D100+($N$84)*E99</f>
        <v>19.56820218628561</v>
      </c>
      <c r="F100" s="19">
        <f t="shared" si="98"/>
        <v>20.212531199249277</v>
      </c>
      <c r="G100" s="19">
        <f t="shared" si="80"/>
        <v>18.923873173321944</v>
      </c>
      <c r="H100" s="19">
        <f t="shared" si="81"/>
        <v>-1.5034343635818885</v>
      </c>
      <c r="I100" s="19">
        <f t="shared" si="82"/>
        <v>18.154146370243833</v>
      </c>
      <c r="J100" s="19">
        <f t="shared" si="85"/>
        <v>4.4518612092429855E-2</v>
      </c>
      <c r="K100" s="19">
        <f t="shared" si="83"/>
        <v>4.4518612092429855E-2</v>
      </c>
    </row>
    <row r="101" spans="2:11" x14ac:dyDescent="0.25">
      <c r="B101" s="15" t="s">
        <v>13</v>
      </c>
      <c r="C101" s="15">
        <v>2023</v>
      </c>
      <c r="D101" s="16">
        <v>15</v>
      </c>
      <c r="E101" s="19">
        <f t="shared" ref="E101:F101" si="99">($N$83)*D101+($N$84)*E100</f>
        <v>16.370460655885683</v>
      </c>
      <c r="F101" s="19">
        <f t="shared" si="99"/>
        <v>17.523081818894759</v>
      </c>
      <c r="G101" s="19">
        <f t="shared" si="80"/>
        <v>15.217839492876607</v>
      </c>
      <c r="H101" s="19">
        <f t="shared" si="81"/>
        <v>-2.6894493803545116</v>
      </c>
      <c r="I101" s="19">
        <f t="shared" si="82"/>
        <v>17.420438809740055</v>
      </c>
      <c r="J101" s="19">
        <f t="shared" si="85"/>
        <v>-0.1613625873160037</v>
      </c>
      <c r="K101" s="19">
        <f t="shared" si="83"/>
        <v>0.1613625873160037</v>
      </c>
    </row>
    <row r="102" spans="2:11" x14ac:dyDescent="0.25">
      <c r="B102" s="15" t="s">
        <v>2</v>
      </c>
      <c r="C102" s="15">
        <v>2023</v>
      </c>
      <c r="D102" s="16">
        <v>15</v>
      </c>
      <c r="E102" s="19">
        <f t="shared" ref="E102:F102" si="100">($N$83)*D102+($N$84)*E101</f>
        <v>15.411138196765705</v>
      </c>
      <c r="F102" s="19">
        <f t="shared" si="100"/>
        <v>16.044721283404421</v>
      </c>
      <c r="G102" s="19">
        <f t="shared" si="80"/>
        <v>14.77755511012699</v>
      </c>
      <c r="H102" s="19">
        <f t="shared" si="81"/>
        <v>-1.4783605354903364</v>
      </c>
      <c r="I102" s="19">
        <f t="shared" si="82"/>
        <v>12.528390112522095</v>
      </c>
      <c r="J102" s="19">
        <f t="shared" si="85"/>
        <v>0.16477399249852703</v>
      </c>
      <c r="K102" s="19">
        <f t="shared" si="83"/>
        <v>0.16477399249852703</v>
      </c>
    </row>
    <row r="103" spans="2:11" x14ac:dyDescent="0.25">
      <c r="B103" s="15" t="s">
        <v>4</v>
      </c>
      <c r="C103" s="15">
        <v>2023</v>
      </c>
      <c r="D103" s="16">
        <v>20</v>
      </c>
      <c r="E103" s="19">
        <f t="shared" ref="E103:F103" si="101">($N$83)*D103+($N$84)*E102</f>
        <v>18.62334145902971</v>
      </c>
      <c r="F103" s="19">
        <f t="shared" si="101"/>
        <v>17.849755406342123</v>
      </c>
      <c r="G103" s="19">
        <f t="shared" si="80"/>
        <v>19.396927511717298</v>
      </c>
      <c r="H103" s="19">
        <f t="shared" si="81"/>
        <v>1.8050341229377043</v>
      </c>
      <c r="I103" s="19">
        <f t="shared" si="82"/>
        <v>13.299194574636653</v>
      </c>
      <c r="J103" s="19">
        <f t="shared" si="85"/>
        <v>0.33504027126816738</v>
      </c>
      <c r="K103" s="19">
        <f t="shared" si="83"/>
        <v>0.33504027126816738</v>
      </c>
    </row>
    <row r="104" spans="2:11" x14ac:dyDescent="0.25">
      <c r="B104" s="15" t="s">
        <v>3</v>
      </c>
      <c r="C104" s="15">
        <v>2023</v>
      </c>
      <c r="D104" s="16">
        <v>25</v>
      </c>
      <c r="E104" s="19">
        <f t="shared" ref="E104:F104" si="102">($N$83)*D104+($N$84)*E103</f>
        <v>23.087002437708911</v>
      </c>
      <c r="F104" s="19">
        <f t="shared" si="102"/>
        <v>21.515828328298873</v>
      </c>
      <c r="G104" s="19">
        <f t="shared" si="80"/>
        <v>24.658176547118948</v>
      </c>
      <c r="H104" s="19">
        <f t="shared" si="81"/>
        <v>3.6660729219567547</v>
      </c>
      <c r="I104" s="19">
        <f t="shared" si="82"/>
        <v>21.201961634655003</v>
      </c>
      <c r="J104" s="19">
        <f t="shared" si="85"/>
        <v>0.15192153461379987</v>
      </c>
      <c r="K104" s="19">
        <f t="shared" si="83"/>
        <v>0.15192153461379987</v>
      </c>
    </row>
    <row r="105" spans="2:11" x14ac:dyDescent="0.25">
      <c r="B105" s="15" t="s">
        <v>5</v>
      </c>
      <c r="C105" s="15">
        <v>2023</v>
      </c>
      <c r="D105" s="16">
        <v>27</v>
      </c>
      <c r="E105" s="19">
        <f t="shared" ref="E105:F105" si="103">($N$83)*D105+($N$84)*E104</f>
        <v>25.826100731312671</v>
      </c>
      <c r="F105" s="19">
        <f t="shared" si="103"/>
        <v>24.53301901040853</v>
      </c>
      <c r="G105" s="19">
        <f t="shared" si="80"/>
        <v>27.119182452216812</v>
      </c>
      <c r="H105" s="19">
        <f t="shared" si="81"/>
        <v>3.0171906821096619</v>
      </c>
      <c r="I105" s="19">
        <f t="shared" si="82"/>
        <v>28.324249469075703</v>
      </c>
      <c r="J105" s="19">
        <f t="shared" si="85"/>
        <v>-4.9046276632433432E-2</v>
      </c>
      <c r="K105" s="19">
        <f t="shared" si="83"/>
        <v>4.9046276632433432E-2</v>
      </c>
    </row>
    <row r="106" spans="2:11" x14ac:dyDescent="0.25">
      <c r="B106" s="15" t="s">
        <v>6</v>
      </c>
      <c r="C106" s="15">
        <v>2023</v>
      </c>
      <c r="D106" s="16">
        <v>30</v>
      </c>
      <c r="E106" s="19">
        <f t="shared" ref="E106:F106" si="104">($N$83)*D106+($N$84)*E105</f>
        <v>28.747830219393801</v>
      </c>
      <c r="F106" s="19">
        <f t="shared" si="104"/>
        <v>27.483386856698218</v>
      </c>
      <c r="G106" s="19">
        <f t="shared" si="80"/>
        <v>30.012273582089385</v>
      </c>
      <c r="H106" s="19">
        <f t="shared" si="81"/>
        <v>2.9503678462896956</v>
      </c>
      <c r="I106" s="19">
        <f t="shared" si="82"/>
        <v>30.136373134326472</v>
      </c>
      <c r="J106" s="19">
        <f t="shared" si="85"/>
        <v>-4.5457711442157493E-3</v>
      </c>
      <c r="K106" s="19">
        <f t="shared" si="83"/>
        <v>4.5457711442157493E-3</v>
      </c>
    </row>
    <row r="107" spans="2:11" x14ac:dyDescent="0.25">
      <c r="B107" s="15" t="s">
        <v>7</v>
      </c>
      <c r="C107" s="15">
        <v>2023</v>
      </c>
      <c r="D107" s="16">
        <v>32</v>
      </c>
      <c r="E107" s="19">
        <f t="shared" ref="E107:F107" si="105">($N$83)*D107+($N$84)*E106</f>
        <v>31.024349065818139</v>
      </c>
      <c r="F107" s="19">
        <f t="shared" si="105"/>
        <v>29.962060403082162</v>
      </c>
      <c r="G107" s="19">
        <f t="shared" si="80"/>
        <v>32.086637728554116</v>
      </c>
      <c r="H107" s="19">
        <f t="shared" si="81"/>
        <v>2.4786735463839462</v>
      </c>
      <c r="I107" s="19">
        <f t="shared" si="82"/>
        <v>32.962641428379079</v>
      </c>
      <c r="J107" s="19">
        <f t="shared" si="85"/>
        <v>-3.0082544636846231E-2</v>
      </c>
      <c r="K107" s="19">
        <f t="shared" si="83"/>
        <v>3.0082544636846231E-2</v>
      </c>
    </row>
    <row r="108" spans="2:11" x14ac:dyDescent="0.25">
      <c r="B108" s="15" t="s">
        <v>8</v>
      </c>
      <c r="C108" s="15">
        <v>2023</v>
      </c>
      <c r="D108" s="16">
        <v>32</v>
      </c>
      <c r="E108" s="19">
        <f t="shared" ref="E108:F108" si="106">($N$83)*D108+($N$84)*E107</f>
        <v>31.707304719745441</v>
      </c>
      <c r="F108" s="19">
        <f t="shared" si="106"/>
        <v>31.183731424746455</v>
      </c>
      <c r="G108" s="19">
        <f t="shared" si="80"/>
        <v>32.230878014744427</v>
      </c>
      <c r="H108" s="19">
        <f t="shared" si="81"/>
        <v>1.2216710216643007</v>
      </c>
      <c r="I108" s="19">
        <f t="shared" si="82"/>
        <v>34.565311274938061</v>
      </c>
      <c r="J108" s="19">
        <f t="shared" si="85"/>
        <v>-8.0165977341814409E-2</v>
      </c>
      <c r="K108" s="19">
        <f t="shared" si="83"/>
        <v>8.0165977341814409E-2</v>
      </c>
    </row>
    <row r="109" spans="2:11" x14ac:dyDescent="0.25">
      <c r="B109" s="15" t="s">
        <v>9</v>
      </c>
      <c r="C109" s="15">
        <v>2024</v>
      </c>
      <c r="D109" s="16">
        <v>29</v>
      </c>
      <c r="E109" s="19">
        <f t="shared" ref="E109:F109" si="107">($N$83)*D109+($N$84)*E108</f>
        <v>29.812191415923628</v>
      </c>
      <c r="F109" s="19">
        <f t="shared" si="107"/>
        <v>30.223653418570475</v>
      </c>
      <c r="G109" s="19">
        <f t="shared" si="80"/>
        <v>29.400729413276782</v>
      </c>
      <c r="H109" s="19">
        <f t="shared" si="81"/>
        <v>-0.96007800617597527</v>
      </c>
      <c r="I109" s="19">
        <f t="shared" si="82"/>
        <v>33.452549036408726</v>
      </c>
      <c r="J109" s="19">
        <f t="shared" si="85"/>
        <v>-0.15353617366926642</v>
      </c>
      <c r="K109" s="19">
        <f t="shared" si="83"/>
        <v>0.15353617366926642</v>
      </c>
    </row>
    <row r="110" spans="2:11" x14ac:dyDescent="0.25">
      <c r="B110" s="15" t="s">
        <v>10</v>
      </c>
      <c r="C110" s="15">
        <v>2024</v>
      </c>
      <c r="D110" s="16">
        <v>26</v>
      </c>
      <c r="E110" s="19">
        <f t="shared" ref="E110:F110" si="108">($N$83)*D110+($N$84)*E109</f>
        <v>27.143657424777089</v>
      </c>
      <c r="F110" s="19">
        <f t="shared" si="108"/>
        <v>28.067656222915105</v>
      </c>
      <c r="G110" s="19">
        <f t="shared" si="80"/>
        <v>26.219658626639074</v>
      </c>
      <c r="H110" s="19">
        <f t="shared" si="81"/>
        <v>-2.1559971956553694</v>
      </c>
      <c r="I110" s="19">
        <f t="shared" si="82"/>
        <v>28.440651407100805</v>
      </c>
      <c r="J110" s="19">
        <f t="shared" si="85"/>
        <v>-9.3871207965415593E-2</v>
      </c>
      <c r="K110" s="19">
        <f t="shared" si="83"/>
        <v>9.3871207965415593E-2</v>
      </c>
    </row>
    <row r="111" spans="2:11" x14ac:dyDescent="0.25">
      <c r="B111" s="15" t="s">
        <v>11</v>
      </c>
      <c r="C111" s="15">
        <v>2024</v>
      </c>
      <c r="D111" s="16">
        <v>24</v>
      </c>
      <c r="E111" s="19">
        <f t="shared" ref="E111:F111" si="109">($N$83)*D111+($N$84)*E110</f>
        <v>24.943097227433121</v>
      </c>
      <c r="F111" s="19">
        <f t="shared" si="109"/>
        <v>25.880464926077714</v>
      </c>
      <c r="G111" s="19">
        <f t="shared" si="80"/>
        <v>24.005729528788528</v>
      </c>
      <c r="H111" s="19">
        <f t="shared" si="81"/>
        <v>-2.1871912968373834</v>
      </c>
      <c r="I111" s="19">
        <f t="shared" si="82"/>
        <v>24.063661430983704</v>
      </c>
      <c r="J111" s="19">
        <f t="shared" si="85"/>
        <v>-2.6525596243209826E-3</v>
      </c>
      <c r="K111" s="19">
        <f t="shared" si="83"/>
        <v>2.6525596243209826E-3</v>
      </c>
    </row>
    <row r="112" spans="2:11" x14ac:dyDescent="0.25">
      <c r="B112" s="15" t="s">
        <v>12</v>
      </c>
      <c r="C112" s="15">
        <v>2024</v>
      </c>
      <c r="D112" s="16">
        <v>20</v>
      </c>
      <c r="E112" s="19">
        <f t="shared" ref="E112:F112" si="110">($N$83)*D112+($N$84)*E111</f>
        <v>21.482929168229937</v>
      </c>
      <c r="F112" s="19">
        <f t="shared" si="110"/>
        <v>22.80218989558427</v>
      </c>
      <c r="G112" s="19">
        <f t="shared" si="80"/>
        <v>20.163668440875604</v>
      </c>
      <c r="H112" s="19">
        <f t="shared" si="81"/>
        <v>-3.0782750304934439</v>
      </c>
      <c r="I112" s="19">
        <f t="shared" si="82"/>
        <v>21.818538231951145</v>
      </c>
      <c r="J112" s="19">
        <f t="shared" si="85"/>
        <v>-9.0926911597557239E-2</v>
      </c>
      <c r="K112" s="19">
        <f t="shared" si="83"/>
        <v>9.0926911597557239E-2</v>
      </c>
    </row>
    <row r="113" spans="2:14" x14ac:dyDescent="0.25">
      <c r="B113" s="15" t="s">
        <v>13</v>
      </c>
      <c r="C113" s="15">
        <v>2024</v>
      </c>
      <c r="D113" s="16">
        <v>18</v>
      </c>
      <c r="E113" s="19">
        <f t="shared" ref="E113:F113" si="111">($N$83)*D113+($N$84)*E112</f>
        <v>19.044878750468982</v>
      </c>
      <c r="F113" s="19">
        <f t="shared" si="111"/>
        <v>20.172072094003568</v>
      </c>
      <c r="G113" s="19">
        <f t="shared" si="80"/>
        <v>17.917685406934396</v>
      </c>
      <c r="H113" s="19">
        <f t="shared" si="81"/>
        <v>-2.6301178015807003</v>
      </c>
      <c r="I113" s="19">
        <f t="shared" si="82"/>
        <v>17.08539341038216</v>
      </c>
      <c r="J113" s="19">
        <f t="shared" si="85"/>
        <v>5.0811477200991106E-2</v>
      </c>
      <c r="K113" s="19">
        <f t="shared" si="83"/>
        <v>5.0811477200991106E-2</v>
      </c>
    </row>
    <row r="114" spans="2:14" x14ac:dyDescent="0.25">
      <c r="B114" s="15" t="s">
        <v>2</v>
      </c>
      <c r="C114" s="15">
        <v>2024</v>
      </c>
      <c r="D114" s="16">
        <v>16</v>
      </c>
      <c r="E114" s="19">
        <f t="shared" ref="E114:F114" si="112">($N$83)*D114+($N$84)*E113</f>
        <v>16.913463625140693</v>
      </c>
      <c r="F114" s="19">
        <f t="shared" si="112"/>
        <v>17.891046165799555</v>
      </c>
      <c r="G114" s="19">
        <f t="shared" si="80"/>
        <v>15.935881084481831</v>
      </c>
      <c r="H114" s="19">
        <f t="shared" si="81"/>
        <v>-2.2810259282040106</v>
      </c>
      <c r="I114" s="19">
        <f t="shared" si="82"/>
        <v>15.287567605353695</v>
      </c>
      <c r="J114" s="19">
        <f t="shared" si="85"/>
        <v>4.4527024665394044E-2</v>
      </c>
      <c r="K114" s="19">
        <f t="shared" si="83"/>
        <v>4.4527024665394044E-2</v>
      </c>
    </row>
    <row r="115" spans="2:14" x14ac:dyDescent="0.25">
      <c r="B115" s="15" t="s">
        <v>4</v>
      </c>
      <c r="C115" s="15">
        <v>2024</v>
      </c>
      <c r="D115" s="16">
        <v>21</v>
      </c>
      <c r="E115" s="19">
        <f t="shared" ref="E115:F115" si="113">($N$83)*D115+($N$84)*E114</f>
        <v>19.774039087542207</v>
      </c>
      <c r="F115" s="19">
        <f t="shared" si="113"/>
        <v>19.209141211019411</v>
      </c>
      <c r="G115" s="19">
        <f t="shared" si="80"/>
        <v>20.338936964065002</v>
      </c>
      <c r="H115" s="19">
        <f t="shared" si="81"/>
        <v>1.3180950452198572</v>
      </c>
      <c r="I115" s="19">
        <f t="shared" si="82"/>
        <v>13.65485515627782</v>
      </c>
      <c r="J115" s="19">
        <f t="shared" si="85"/>
        <v>0.34976880208200856</v>
      </c>
      <c r="K115" s="19">
        <f t="shared" si="83"/>
        <v>0.34976880208200856</v>
      </c>
    </row>
    <row r="116" spans="2:14" x14ac:dyDescent="0.25">
      <c r="B116" s="15" t="s">
        <v>3</v>
      </c>
      <c r="C116" s="15">
        <v>2024</v>
      </c>
      <c r="D116" s="16">
        <v>23</v>
      </c>
      <c r="E116" s="19">
        <f t="shared" ref="E116:F116" si="114">($N$83)*D116+($N$84)*E115</f>
        <v>22.032211726262659</v>
      </c>
      <c r="F116" s="19">
        <f t="shared" si="114"/>
        <v>21.185290571689684</v>
      </c>
      <c r="G116" s="19">
        <f t="shared" si="80"/>
        <v>22.879132880835634</v>
      </c>
      <c r="H116" s="19">
        <f t="shared" si="81"/>
        <v>1.9761493606702749</v>
      </c>
      <c r="I116" s="19">
        <f t="shared" si="82"/>
        <v>21.657032009284858</v>
      </c>
      <c r="J116" s="19">
        <f t="shared" si="85"/>
        <v>5.8389912639788773E-2</v>
      </c>
      <c r="K116" s="19">
        <f t="shared" si="83"/>
        <v>5.8389912639788773E-2</v>
      </c>
    </row>
    <row r="117" spans="2:14" x14ac:dyDescent="0.25">
      <c r="B117" s="15" t="s">
        <v>5</v>
      </c>
      <c r="C117" s="15">
        <v>2024</v>
      </c>
      <c r="D117" s="16">
        <v>24</v>
      </c>
      <c r="E117" s="19">
        <f t="shared" ref="E117:F117" si="115">($N$83)*D117+($N$84)*E116</f>
        <v>23.409663517878794</v>
      </c>
      <c r="F117" s="19">
        <f t="shared" si="115"/>
        <v>22.742351634022061</v>
      </c>
      <c r="G117" s="19">
        <f t="shared" si="80"/>
        <v>24.076975401735528</v>
      </c>
      <c r="H117" s="19">
        <f t="shared" si="81"/>
        <v>1.557061062332378</v>
      </c>
      <c r="I117" s="19">
        <f t="shared" si="82"/>
        <v>24.855282241505908</v>
      </c>
      <c r="J117" s="19">
        <f t="shared" si="85"/>
        <v>-3.5636760062746152E-2</v>
      </c>
      <c r="K117" s="19">
        <f t="shared" si="83"/>
        <v>3.5636760062746152E-2</v>
      </c>
    </row>
    <row r="118" spans="2:14" x14ac:dyDescent="0.25">
      <c r="B118" s="15" t="s">
        <v>6</v>
      </c>
      <c r="C118" s="15">
        <v>2024</v>
      </c>
      <c r="D118" s="16">
        <v>28</v>
      </c>
      <c r="E118" s="19">
        <f t="shared" ref="E118:F118" si="116">($N$83)*D118+($N$84)*E117</f>
        <v>26.622899055363636</v>
      </c>
      <c r="F118" s="19">
        <f t="shared" si="116"/>
        <v>25.458734828961163</v>
      </c>
      <c r="G118" s="19">
        <f t="shared" si="80"/>
        <v>27.787063281766109</v>
      </c>
      <c r="H118" s="19">
        <f t="shared" si="81"/>
        <v>2.7163831949391044</v>
      </c>
      <c r="I118" s="19">
        <f t="shared" si="82"/>
        <v>25.634036464067904</v>
      </c>
      <c r="J118" s="19">
        <f t="shared" si="85"/>
        <v>8.4498697711860568E-2</v>
      </c>
      <c r="K118" s="19">
        <f t="shared" si="83"/>
        <v>8.4498697711860568E-2</v>
      </c>
    </row>
    <row r="119" spans="2:14" x14ac:dyDescent="0.25">
      <c r="B119" s="15" t="s">
        <v>7</v>
      </c>
      <c r="C119" s="15">
        <v>2024</v>
      </c>
      <c r="D119" s="16">
        <v>29</v>
      </c>
      <c r="E119" s="19">
        <f t="shared" ref="E119:F119" si="117">($N$83)*D119+($N$84)*E118</f>
        <v>28.28686971660909</v>
      </c>
      <c r="F119" s="19">
        <f t="shared" si="117"/>
        <v>27.438429250314709</v>
      </c>
      <c r="G119" s="19">
        <f t="shared" si="80"/>
        <v>29.135310182903471</v>
      </c>
      <c r="H119" s="19">
        <f t="shared" si="81"/>
        <v>1.9796944213535557</v>
      </c>
      <c r="I119" s="19">
        <f>G118+H118</f>
        <v>30.503446476705214</v>
      </c>
      <c r="J119" s="19">
        <f>(D119-I119)/D119</f>
        <v>-5.1842981955352217E-2</v>
      </c>
      <c r="K119" s="19">
        <f t="shared" si="83"/>
        <v>5.1842981955352217E-2</v>
      </c>
    </row>
    <row r="120" spans="2:14" x14ac:dyDescent="0.25">
      <c r="B120" s="21" t="s">
        <v>8</v>
      </c>
      <c r="C120" s="21">
        <v>2024</v>
      </c>
      <c r="D120" s="22"/>
      <c r="E120" s="8"/>
      <c r="F120" s="8"/>
      <c r="G120" s="8"/>
      <c r="H120" s="8"/>
      <c r="I120" s="8">
        <f>G119+H119</f>
        <v>31.115004604257027</v>
      </c>
      <c r="J120" s="8" t="s">
        <v>21</v>
      </c>
      <c r="K120" s="20">
        <f>100/36*SUM(K85:K119)</f>
        <v>10.465070473799774</v>
      </c>
    </row>
    <row r="123" spans="2:14" x14ac:dyDescent="0.25">
      <c r="B123" s="18" t="s">
        <v>0</v>
      </c>
      <c r="C123" s="18" t="s">
        <v>1</v>
      </c>
      <c r="D123" s="18" t="s">
        <v>22</v>
      </c>
      <c r="E123" s="18" t="s">
        <v>14</v>
      </c>
      <c r="F123" s="18" t="s">
        <v>15</v>
      </c>
      <c r="G123" s="18" t="s">
        <v>16</v>
      </c>
      <c r="H123" s="18" t="s">
        <v>17</v>
      </c>
      <c r="I123" s="18" t="s">
        <v>18</v>
      </c>
      <c r="J123" s="18" t="s">
        <v>19</v>
      </c>
      <c r="K123" s="18" t="s">
        <v>20</v>
      </c>
      <c r="N123" s="11">
        <v>0.6</v>
      </c>
    </row>
    <row r="124" spans="2:14" x14ac:dyDescent="0.25">
      <c r="B124" s="15" t="s">
        <v>8</v>
      </c>
      <c r="C124" s="15">
        <v>2021</v>
      </c>
      <c r="D124" s="16">
        <v>20</v>
      </c>
      <c r="E124" s="19">
        <v>20</v>
      </c>
      <c r="F124" s="19">
        <v>20</v>
      </c>
      <c r="G124" s="19">
        <v>20</v>
      </c>
      <c r="H124" s="19">
        <v>0</v>
      </c>
      <c r="I124" s="19"/>
      <c r="J124" s="19"/>
      <c r="K124" s="19"/>
      <c r="N124" s="11">
        <v>0.4</v>
      </c>
    </row>
    <row r="125" spans="2:14" x14ac:dyDescent="0.25">
      <c r="B125" s="15" t="s">
        <v>9</v>
      </c>
      <c r="C125" s="15">
        <v>2022</v>
      </c>
      <c r="D125" s="16">
        <v>17</v>
      </c>
      <c r="E125" s="19">
        <f>($N$123)*D125+($N$124)*E124</f>
        <v>18.2</v>
      </c>
      <c r="F125" s="19">
        <f>($N$123)*E125+($N$124)*F124</f>
        <v>18.920000000000002</v>
      </c>
      <c r="G125" s="19">
        <f>2*(E125)-(F125)</f>
        <v>17.479999999999997</v>
      </c>
      <c r="H125" s="19">
        <f>$N$123/$N$124*(E125-F125)</f>
        <v>-1.0800000000000034</v>
      </c>
      <c r="I125" s="19">
        <f>G124+H124</f>
        <v>20</v>
      </c>
      <c r="J125" s="19">
        <f>(D125-I125)/D125</f>
        <v>-0.17647058823529413</v>
      </c>
      <c r="K125" s="19">
        <f>ABS(J125)</f>
        <v>0.17647058823529413</v>
      </c>
    </row>
    <row r="126" spans="2:14" x14ac:dyDescent="0.25">
      <c r="B126" s="15" t="s">
        <v>10</v>
      </c>
      <c r="C126" s="15">
        <v>2022</v>
      </c>
      <c r="D126" s="16">
        <v>16</v>
      </c>
      <c r="E126" s="19">
        <f t="shared" ref="E126:F126" si="118">($N$123)*D126+($N$124)*E125</f>
        <v>16.88</v>
      </c>
      <c r="F126" s="19">
        <f t="shared" si="118"/>
        <v>17.695999999999998</v>
      </c>
      <c r="G126" s="19">
        <f t="shared" ref="G126:G158" si="119">2*(E126)-(F126)</f>
        <v>16.064</v>
      </c>
      <c r="H126" s="19">
        <f t="shared" ref="H126:H158" si="120">$N$123/$N$124*(E126-F126)</f>
        <v>-1.2239999999999982</v>
      </c>
      <c r="I126" s="19">
        <f t="shared" ref="I126:I158" si="121">G125+H125</f>
        <v>16.399999999999995</v>
      </c>
      <c r="J126" s="19">
        <f>(D126-I126)/D126</f>
        <v>-2.4999999999999689E-2</v>
      </c>
      <c r="K126" s="19">
        <f t="shared" ref="K126:K127" si="122">ABS(J126)</f>
        <v>2.4999999999999689E-2</v>
      </c>
    </row>
    <row r="127" spans="2:14" x14ac:dyDescent="0.25">
      <c r="B127" s="15" t="s">
        <v>11</v>
      </c>
      <c r="C127" s="15">
        <v>2022</v>
      </c>
      <c r="D127" s="16">
        <v>15</v>
      </c>
      <c r="E127" s="19">
        <f t="shared" ref="E127:F127" si="123">($N$123)*D127+($N$124)*E126</f>
        <v>15.751999999999999</v>
      </c>
      <c r="F127" s="19">
        <f t="shared" si="123"/>
        <v>16.529599999999999</v>
      </c>
      <c r="G127" s="19">
        <f t="shared" si="119"/>
        <v>14.974399999999999</v>
      </c>
      <c r="H127" s="19">
        <f t="shared" si="120"/>
        <v>-1.1663999999999992</v>
      </c>
      <c r="I127" s="19">
        <f t="shared" si="121"/>
        <v>14.840000000000002</v>
      </c>
      <c r="J127" s="19">
        <f t="shared" ref="J127:J130" si="124">(D127-I127)/D127</f>
        <v>1.0666666666666557E-2</v>
      </c>
      <c r="K127" s="19">
        <f t="shared" si="122"/>
        <v>1.0666666666666557E-2</v>
      </c>
    </row>
    <row r="128" spans="2:14" x14ac:dyDescent="0.25">
      <c r="B128" s="15" t="s">
        <v>12</v>
      </c>
      <c r="C128" s="15">
        <v>2022</v>
      </c>
      <c r="D128" s="16">
        <v>15</v>
      </c>
      <c r="E128" s="19">
        <f t="shared" ref="E128:F128" si="125">($N$123)*D128+($N$124)*E127</f>
        <v>15.300799999999999</v>
      </c>
      <c r="F128" s="19">
        <f t="shared" si="125"/>
        <v>15.79232</v>
      </c>
      <c r="G128" s="19">
        <f t="shared" si="119"/>
        <v>14.809279999999998</v>
      </c>
      <c r="H128" s="19">
        <f t="shared" si="120"/>
        <v>-0.73728000000000182</v>
      </c>
      <c r="I128" s="19">
        <f t="shared" si="121"/>
        <v>13.808</v>
      </c>
      <c r="J128" s="19">
        <f t="shared" si="124"/>
        <v>7.9466666666666672E-2</v>
      </c>
      <c r="K128" s="19">
        <f>ABS(J128)</f>
        <v>7.9466666666666672E-2</v>
      </c>
    </row>
    <row r="129" spans="2:24" x14ac:dyDescent="0.25">
      <c r="B129" s="15" t="s">
        <v>13</v>
      </c>
      <c r="C129" s="15">
        <v>2022</v>
      </c>
      <c r="D129" s="16">
        <v>12</v>
      </c>
      <c r="E129" s="19">
        <f t="shared" ref="E129:F129" si="126">($N$123)*D129+($N$124)*E128</f>
        <v>13.320319999999999</v>
      </c>
      <c r="F129" s="19">
        <f t="shared" si="126"/>
        <v>14.30912</v>
      </c>
      <c r="G129" s="19">
        <f t="shared" si="119"/>
        <v>12.331519999999998</v>
      </c>
      <c r="H129" s="19">
        <f t="shared" si="120"/>
        <v>-1.4832000000000016</v>
      </c>
      <c r="I129" s="19">
        <f t="shared" si="121"/>
        <v>14.071999999999996</v>
      </c>
      <c r="J129" s="19">
        <f t="shared" si="124"/>
        <v>-0.1726666666666663</v>
      </c>
      <c r="K129" s="19">
        <f t="shared" ref="K129:K159" si="127">ABS(J129)</f>
        <v>0.1726666666666663</v>
      </c>
    </row>
    <row r="130" spans="2:24" x14ac:dyDescent="0.25">
      <c r="B130" s="15" t="s">
        <v>2</v>
      </c>
      <c r="C130" s="15">
        <v>2022</v>
      </c>
      <c r="D130" s="16">
        <v>11</v>
      </c>
      <c r="E130" s="19">
        <f t="shared" ref="E130:F130" si="128">($N$123)*D130+($N$124)*E129</f>
        <v>11.928127999999999</v>
      </c>
      <c r="F130" s="19">
        <f t="shared" si="128"/>
        <v>12.8805248</v>
      </c>
      <c r="G130" s="19">
        <f t="shared" si="119"/>
        <v>10.975731199999998</v>
      </c>
      <c r="H130" s="19">
        <f t="shared" si="120"/>
        <v>-1.4285952000000008</v>
      </c>
      <c r="I130" s="19">
        <f t="shared" si="121"/>
        <v>10.848319999999996</v>
      </c>
      <c r="J130" s="19">
        <f t="shared" si="124"/>
        <v>1.3789090909091296E-2</v>
      </c>
      <c r="K130" s="19">
        <f t="shared" si="127"/>
        <v>1.3789090909091296E-2</v>
      </c>
    </row>
    <row r="131" spans="2:24" x14ac:dyDescent="0.25">
      <c r="B131" s="15" t="s">
        <v>4</v>
      </c>
      <c r="C131" s="15">
        <v>2022</v>
      </c>
      <c r="D131" s="16">
        <v>15</v>
      </c>
      <c r="E131" s="19">
        <f t="shared" ref="E131:F131" si="129">($N$123)*D131+($N$124)*E130</f>
        <v>13.7712512</v>
      </c>
      <c r="F131" s="19">
        <f t="shared" si="129"/>
        <v>13.41496064</v>
      </c>
      <c r="G131" s="19">
        <f t="shared" si="119"/>
        <v>14.12754176</v>
      </c>
      <c r="H131" s="19">
        <f t="shared" si="120"/>
        <v>0.53443583999999944</v>
      </c>
      <c r="I131" s="19">
        <f t="shared" si="121"/>
        <v>9.5471359999999983</v>
      </c>
      <c r="J131" s="19">
        <f>(D131-I131)/D131</f>
        <v>0.36352426666666676</v>
      </c>
      <c r="K131" s="19">
        <f t="shared" si="127"/>
        <v>0.36352426666666676</v>
      </c>
    </row>
    <row r="132" spans="2:24" x14ac:dyDescent="0.25">
      <c r="B132" s="15" t="s">
        <v>3</v>
      </c>
      <c r="C132" s="15">
        <v>2022</v>
      </c>
      <c r="D132" s="16">
        <v>20</v>
      </c>
      <c r="E132" s="19">
        <f t="shared" ref="E132:F132" si="130">($N$123)*D132+($N$124)*E131</f>
        <v>17.508500480000002</v>
      </c>
      <c r="F132" s="19">
        <f t="shared" si="130"/>
        <v>15.871084544000002</v>
      </c>
      <c r="G132" s="19">
        <f t="shared" si="119"/>
        <v>19.145916416000002</v>
      </c>
      <c r="H132" s="19">
        <f t="shared" si="120"/>
        <v>2.4561239039999996</v>
      </c>
      <c r="I132" s="19">
        <f t="shared" si="121"/>
        <v>14.661977599999998</v>
      </c>
      <c r="J132" s="19">
        <f t="shared" ref="J132:J158" si="131">(D132-I132)/D132</f>
        <v>0.2669011200000001</v>
      </c>
      <c r="K132" s="19">
        <f t="shared" si="127"/>
        <v>0.2669011200000001</v>
      </c>
    </row>
    <row r="133" spans="2:24" x14ac:dyDescent="0.25">
      <c r="B133" s="15" t="s">
        <v>5</v>
      </c>
      <c r="C133" s="15">
        <v>2022</v>
      </c>
      <c r="D133" s="16">
        <v>22</v>
      </c>
      <c r="E133" s="19">
        <f t="shared" ref="E133:F133" si="132">($N$123)*D133+($N$124)*E132</f>
        <v>20.203400192</v>
      </c>
      <c r="F133" s="19">
        <f t="shared" si="132"/>
        <v>18.470473932800001</v>
      </c>
      <c r="G133" s="19">
        <f t="shared" si="119"/>
        <v>21.936326451199999</v>
      </c>
      <c r="H133" s="19">
        <f t="shared" si="120"/>
        <v>2.5993893887999984</v>
      </c>
      <c r="I133" s="19">
        <f t="shared" si="121"/>
        <v>21.60204032</v>
      </c>
      <c r="J133" s="19">
        <f t="shared" si="131"/>
        <v>1.8089076363636346E-2</v>
      </c>
      <c r="K133" s="19">
        <f t="shared" si="127"/>
        <v>1.8089076363636346E-2</v>
      </c>
    </row>
    <row r="134" spans="2:24" x14ac:dyDescent="0.25">
      <c r="B134" s="15" t="s">
        <v>6</v>
      </c>
      <c r="C134" s="15">
        <v>2022</v>
      </c>
      <c r="D134" s="16">
        <v>22</v>
      </c>
      <c r="E134" s="19">
        <f t="shared" ref="E134:F134" si="133">($N$123)*D134+($N$124)*E133</f>
        <v>21.281360076799999</v>
      </c>
      <c r="F134" s="19">
        <f t="shared" si="133"/>
        <v>20.1570056192</v>
      </c>
      <c r="G134" s="19">
        <f t="shared" si="119"/>
        <v>22.405714534399998</v>
      </c>
      <c r="H134" s="19">
        <f t="shared" si="120"/>
        <v>1.6865316863999984</v>
      </c>
      <c r="I134" s="19">
        <f t="shared" si="121"/>
        <v>24.535715839999998</v>
      </c>
      <c r="J134" s="19">
        <f t="shared" si="131"/>
        <v>-0.11525981090909082</v>
      </c>
      <c r="K134" s="19">
        <f t="shared" si="127"/>
        <v>0.11525981090909082</v>
      </c>
    </row>
    <row r="135" spans="2:24" x14ac:dyDescent="0.25">
      <c r="B135" s="15" t="s">
        <v>7</v>
      </c>
      <c r="C135" s="15">
        <v>2022</v>
      </c>
      <c r="D135" s="16">
        <v>24</v>
      </c>
      <c r="E135" s="19">
        <f t="shared" ref="E135:F135" si="134">($N$123)*D135+($N$124)*E134</f>
        <v>22.912544030719999</v>
      </c>
      <c r="F135" s="19">
        <f t="shared" si="134"/>
        <v>21.810328666111999</v>
      </c>
      <c r="G135" s="19">
        <f t="shared" si="119"/>
        <v>24.014759395327999</v>
      </c>
      <c r="H135" s="19">
        <f t="shared" si="120"/>
        <v>1.6533230469119997</v>
      </c>
      <c r="I135" s="19">
        <f t="shared" si="121"/>
        <v>24.092246220799996</v>
      </c>
      <c r="J135" s="19">
        <f t="shared" si="131"/>
        <v>-3.8435925333331808E-3</v>
      </c>
      <c r="K135" s="19">
        <f t="shared" si="127"/>
        <v>3.8435925333331808E-3</v>
      </c>
    </row>
    <row r="136" spans="2:24" x14ac:dyDescent="0.25">
      <c r="B136" s="15" t="s">
        <v>8</v>
      </c>
      <c r="C136" s="15">
        <v>2022</v>
      </c>
      <c r="D136" s="16">
        <v>27</v>
      </c>
      <c r="E136" s="19">
        <f t="shared" ref="E136:F136" si="135">($N$123)*D136+($N$124)*E135</f>
        <v>25.365017612288</v>
      </c>
      <c r="F136" s="19">
        <f t="shared" si="135"/>
        <v>23.943142033817601</v>
      </c>
      <c r="G136" s="19">
        <f t="shared" si="119"/>
        <v>26.786893190758398</v>
      </c>
      <c r="H136" s="19">
        <f t="shared" si="120"/>
        <v>2.1328133677055976</v>
      </c>
      <c r="I136" s="19">
        <f t="shared" si="121"/>
        <v>25.668082442239999</v>
      </c>
      <c r="J136" s="19">
        <f t="shared" si="131"/>
        <v>4.9330279917037062E-2</v>
      </c>
      <c r="K136" s="19">
        <f t="shared" si="127"/>
        <v>4.9330279917037062E-2</v>
      </c>
    </row>
    <row r="137" spans="2:24" x14ac:dyDescent="0.25">
      <c r="B137" s="15" t="s">
        <v>9</v>
      </c>
      <c r="C137" s="15">
        <v>2023</v>
      </c>
      <c r="D137" s="16">
        <v>25</v>
      </c>
      <c r="E137" s="19">
        <f t="shared" ref="E137:F137" si="136">($N$123)*D137+($N$124)*E136</f>
        <v>25.146007044915201</v>
      </c>
      <c r="F137" s="19">
        <f t="shared" si="136"/>
        <v>24.664861040476161</v>
      </c>
      <c r="G137" s="19">
        <f t="shared" si="119"/>
        <v>25.627153049354241</v>
      </c>
      <c r="H137" s="19">
        <f t="shared" si="120"/>
        <v>0.72171900665856004</v>
      </c>
      <c r="I137" s="19">
        <f t="shared" si="121"/>
        <v>28.919706558463997</v>
      </c>
      <c r="J137" s="19">
        <f t="shared" si="131"/>
        <v>-0.15678826233855986</v>
      </c>
      <c r="K137" s="19">
        <f t="shared" si="127"/>
        <v>0.15678826233855986</v>
      </c>
    </row>
    <row r="138" spans="2:24" x14ac:dyDescent="0.25">
      <c r="B138" s="15" t="s">
        <v>10</v>
      </c>
      <c r="C138" s="15">
        <v>2023</v>
      </c>
      <c r="D138" s="16">
        <v>22</v>
      </c>
      <c r="E138" s="19">
        <f t="shared" ref="E138:F138" si="137">($N$123)*D138+($N$124)*E137</f>
        <v>23.258402817966079</v>
      </c>
      <c r="F138" s="19">
        <f t="shared" si="137"/>
        <v>23.820986106970111</v>
      </c>
      <c r="G138" s="19">
        <f t="shared" si="119"/>
        <v>22.695819528962048</v>
      </c>
      <c r="H138" s="19">
        <f t="shared" si="120"/>
        <v>-0.84387493350604703</v>
      </c>
      <c r="I138" s="19">
        <f t="shared" si="121"/>
        <v>26.348872056012802</v>
      </c>
      <c r="J138" s="19">
        <f t="shared" si="131"/>
        <v>-0.19767600254603643</v>
      </c>
      <c r="K138" s="19">
        <f t="shared" si="127"/>
        <v>0.19767600254603643</v>
      </c>
    </row>
    <row r="139" spans="2:24" x14ac:dyDescent="0.25">
      <c r="B139" s="15" t="s">
        <v>11</v>
      </c>
      <c r="C139" s="15">
        <v>2023</v>
      </c>
      <c r="D139" s="16">
        <v>20</v>
      </c>
      <c r="E139" s="19">
        <f t="shared" ref="E139:F139" si="138">($N$123)*D139+($N$124)*E138</f>
        <v>21.303361127186434</v>
      </c>
      <c r="F139" s="19">
        <f t="shared" si="138"/>
        <v>22.310411119099903</v>
      </c>
      <c r="G139" s="19">
        <f t="shared" si="119"/>
        <v>20.296311135272965</v>
      </c>
      <c r="H139" s="19">
        <f t="shared" si="120"/>
        <v>-1.5105749878702033</v>
      </c>
      <c r="I139" s="19">
        <f t="shared" si="121"/>
        <v>21.851944595456001</v>
      </c>
      <c r="J139" s="19">
        <f t="shared" si="131"/>
        <v>-9.2597229772800022E-2</v>
      </c>
      <c r="K139" s="19">
        <f t="shared" si="127"/>
        <v>9.2597229772800022E-2</v>
      </c>
    </row>
    <row r="140" spans="2:24" x14ac:dyDescent="0.25">
      <c r="B140" s="15" t="s">
        <v>12</v>
      </c>
      <c r="C140" s="15">
        <v>2023</v>
      </c>
      <c r="D140" s="16">
        <v>19</v>
      </c>
      <c r="E140" s="19">
        <f t="shared" ref="E140:F140" si="139">($N$123)*D140+($N$124)*E139</f>
        <v>19.921344450874575</v>
      </c>
      <c r="F140" s="19">
        <f t="shared" si="139"/>
        <v>20.876971118164704</v>
      </c>
      <c r="G140" s="19">
        <f t="shared" si="119"/>
        <v>18.965717783584445</v>
      </c>
      <c r="H140" s="19">
        <f t="shared" si="120"/>
        <v>-1.433440000935194</v>
      </c>
      <c r="I140" s="19">
        <f t="shared" si="121"/>
        <v>18.785736147402762</v>
      </c>
      <c r="J140" s="19">
        <f t="shared" si="131"/>
        <v>1.1277044873538844E-2</v>
      </c>
      <c r="K140" s="19">
        <f t="shared" si="127"/>
        <v>1.1277044873538844E-2</v>
      </c>
    </row>
    <row r="141" spans="2:24" x14ac:dyDescent="0.25">
      <c r="B141" s="15" t="s">
        <v>13</v>
      </c>
      <c r="C141" s="15">
        <v>2023</v>
      </c>
      <c r="D141" s="16">
        <v>15</v>
      </c>
      <c r="E141" s="19">
        <f t="shared" ref="E141:F141" si="140">($N$123)*D141+($N$124)*E140</f>
        <v>16.968537780349831</v>
      </c>
      <c r="F141" s="19">
        <f t="shared" si="140"/>
        <v>18.531911115475779</v>
      </c>
      <c r="G141" s="19">
        <f t="shared" si="119"/>
        <v>15.405164445223882</v>
      </c>
      <c r="H141" s="19">
        <f t="shared" si="120"/>
        <v>-2.3450600026889226</v>
      </c>
      <c r="I141" s="19">
        <f t="shared" si="121"/>
        <v>17.532277782649253</v>
      </c>
      <c r="J141" s="19">
        <f t="shared" si="131"/>
        <v>-0.1688185188432835</v>
      </c>
      <c r="K141" s="19">
        <f t="shared" si="127"/>
        <v>0.1688185188432835</v>
      </c>
      <c r="M141" s="16">
        <v>25</v>
      </c>
      <c r="N141" s="16">
        <v>22</v>
      </c>
      <c r="O141" s="16">
        <v>20</v>
      </c>
      <c r="P141" s="16">
        <v>19</v>
      </c>
      <c r="Q141" s="16">
        <v>15</v>
      </c>
      <c r="R141" s="16">
        <v>15</v>
      </c>
      <c r="S141" s="16">
        <v>20</v>
      </c>
      <c r="T141" s="16">
        <v>25</v>
      </c>
      <c r="U141" s="16">
        <v>27</v>
      </c>
      <c r="V141" s="16">
        <v>30</v>
      </c>
      <c r="W141" s="16">
        <v>32</v>
      </c>
      <c r="X141" s="16">
        <v>32</v>
      </c>
    </row>
    <row r="142" spans="2:24" x14ac:dyDescent="0.25">
      <c r="B142" s="15" t="s">
        <v>2</v>
      </c>
      <c r="C142" s="15">
        <v>2023</v>
      </c>
      <c r="D142" s="16">
        <v>15</v>
      </c>
      <c r="E142" s="19">
        <f t="shared" ref="E142:F142" si="141">($N$123)*D142+($N$124)*E141</f>
        <v>15.787415112139932</v>
      </c>
      <c r="F142" s="19">
        <f t="shared" si="141"/>
        <v>16.88521351347427</v>
      </c>
      <c r="G142" s="19">
        <f t="shared" si="119"/>
        <v>14.689616710805595</v>
      </c>
      <c r="H142" s="19">
        <f t="shared" si="120"/>
        <v>-1.6466976020015058</v>
      </c>
      <c r="I142" s="19">
        <f t="shared" si="121"/>
        <v>13.060104442534959</v>
      </c>
      <c r="J142" s="19">
        <f t="shared" si="131"/>
        <v>0.1293263704976694</v>
      </c>
      <c r="K142" s="19">
        <f t="shared" si="127"/>
        <v>0.1293263704976694</v>
      </c>
    </row>
    <row r="143" spans="2:24" x14ac:dyDescent="0.25">
      <c r="B143" s="15" t="s">
        <v>4</v>
      </c>
      <c r="C143" s="15">
        <v>2023</v>
      </c>
      <c r="D143" s="16">
        <v>20</v>
      </c>
      <c r="E143" s="19">
        <f t="shared" ref="E143:F143" si="142">($N$123)*D143+($N$124)*E142</f>
        <v>18.314966044855971</v>
      </c>
      <c r="F143" s="19">
        <f t="shared" si="142"/>
        <v>17.743065032303292</v>
      </c>
      <c r="G143" s="19">
        <f t="shared" si="119"/>
        <v>18.886867057408651</v>
      </c>
      <c r="H143" s="19">
        <f t="shared" si="120"/>
        <v>0.85785151882901889</v>
      </c>
      <c r="I143" s="19">
        <f t="shared" si="121"/>
        <v>13.042919108804089</v>
      </c>
      <c r="J143" s="19">
        <f t="shared" si="131"/>
        <v>0.34785404455979557</v>
      </c>
      <c r="K143" s="19">
        <f t="shared" si="127"/>
        <v>0.34785404455979557</v>
      </c>
    </row>
    <row r="144" spans="2:24" x14ac:dyDescent="0.25">
      <c r="B144" s="15" t="s">
        <v>3</v>
      </c>
      <c r="C144" s="15">
        <v>2023</v>
      </c>
      <c r="D144" s="16">
        <v>25</v>
      </c>
      <c r="E144" s="19">
        <f t="shared" ref="E144:F144" si="143">($N$123)*D144+($N$124)*E143</f>
        <v>22.325986417942389</v>
      </c>
      <c r="F144" s="19">
        <f t="shared" si="143"/>
        <v>20.492817863686749</v>
      </c>
      <c r="G144" s="19">
        <f t="shared" si="119"/>
        <v>24.159154972198028</v>
      </c>
      <c r="H144" s="19">
        <f t="shared" si="120"/>
        <v>2.7497528313834585</v>
      </c>
      <c r="I144" s="19">
        <f t="shared" si="121"/>
        <v>19.74471857623767</v>
      </c>
      <c r="J144" s="19">
        <f t="shared" si="131"/>
        <v>0.2102112569504932</v>
      </c>
      <c r="K144" s="19">
        <f t="shared" si="127"/>
        <v>0.2102112569504932</v>
      </c>
    </row>
    <row r="145" spans="2:11" x14ac:dyDescent="0.25">
      <c r="B145" s="15" t="s">
        <v>5</v>
      </c>
      <c r="C145" s="15">
        <v>2023</v>
      </c>
      <c r="D145" s="16">
        <v>27</v>
      </c>
      <c r="E145" s="19">
        <f t="shared" ref="E145:F145" si="144">($N$123)*D145+($N$124)*E144</f>
        <v>25.130394567176957</v>
      </c>
      <c r="F145" s="19">
        <f t="shared" si="144"/>
        <v>23.275363885780877</v>
      </c>
      <c r="G145" s="19">
        <f t="shared" si="119"/>
        <v>26.985425248573037</v>
      </c>
      <c r="H145" s="19">
        <f t="shared" si="120"/>
        <v>2.7825460220941198</v>
      </c>
      <c r="I145" s="19">
        <f t="shared" si="121"/>
        <v>26.908907803581485</v>
      </c>
      <c r="J145" s="19">
        <f t="shared" si="131"/>
        <v>3.3737850525375913E-3</v>
      </c>
      <c r="K145" s="19">
        <f t="shared" si="127"/>
        <v>3.3737850525375913E-3</v>
      </c>
    </row>
    <row r="146" spans="2:11" x14ac:dyDescent="0.25">
      <c r="B146" s="15" t="s">
        <v>6</v>
      </c>
      <c r="C146" s="15">
        <v>2023</v>
      </c>
      <c r="D146" s="16">
        <v>30</v>
      </c>
      <c r="E146" s="19">
        <f t="shared" ref="E146:F146" si="145">($N$123)*D146+($N$124)*E145</f>
        <v>28.052157826870783</v>
      </c>
      <c r="F146" s="19">
        <f t="shared" si="145"/>
        <v>26.141440250434819</v>
      </c>
      <c r="G146" s="19">
        <f t="shared" si="119"/>
        <v>29.962875403306747</v>
      </c>
      <c r="H146" s="19">
        <f t="shared" si="120"/>
        <v>2.8660763646539453</v>
      </c>
      <c r="I146" s="19">
        <f t="shared" si="121"/>
        <v>29.767971270667157</v>
      </c>
      <c r="J146" s="19">
        <f t="shared" si="131"/>
        <v>7.7342909777614226E-3</v>
      </c>
      <c r="K146" s="19">
        <f t="shared" si="127"/>
        <v>7.7342909777614226E-3</v>
      </c>
    </row>
    <row r="147" spans="2:11" x14ac:dyDescent="0.25">
      <c r="B147" s="15" t="s">
        <v>7</v>
      </c>
      <c r="C147" s="15">
        <v>2023</v>
      </c>
      <c r="D147" s="16">
        <v>32</v>
      </c>
      <c r="E147" s="19">
        <f t="shared" ref="E147:F147" si="146">($N$123)*D147+($N$124)*E146</f>
        <v>30.420863130748312</v>
      </c>
      <c r="F147" s="19">
        <f t="shared" si="146"/>
        <v>28.709093978622917</v>
      </c>
      <c r="G147" s="19">
        <f t="shared" si="119"/>
        <v>32.132632282873708</v>
      </c>
      <c r="H147" s="19">
        <f t="shared" si="120"/>
        <v>2.5676537281880925</v>
      </c>
      <c r="I147" s="19">
        <f t="shared" si="121"/>
        <v>32.828951767960689</v>
      </c>
      <c r="J147" s="19">
        <f t="shared" si="131"/>
        <v>-2.5904742748771525E-2</v>
      </c>
      <c r="K147" s="19">
        <f t="shared" si="127"/>
        <v>2.5904742748771525E-2</v>
      </c>
    </row>
    <row r="148" spans="2:11" x14ac:dyDescent="0.25">
      <c r="B148" s="15" t="s">
        <v>8</v>
      </c>
      <c r="C148" s="15">
        <v>2023</v>
      </c>
      <c r="D148" s="16">
        <v>32</v>
      </c>
      <c r="E148" s="19">
        <f t="shared" ref="E148:F148" si="147">($N$123)*D148+($N$124)*E147</f>
        <v>31.368345252299324</v>
      </c>
      <c r="F148" s="19">
        <f t="shared" si="147"/>
        <v>30.30464474282876</v>
      </c>
      <c r="G148" s="19">
        <f t="shared" si="119"/>
        <v>32.432045761769885</v>
      </c>
      <c r="H148" s="19">
        <f t="shared" si="120"/>
        <v>1.5955507642058462</v>
      </c>
      <c r="I148" s="19">
        <f t="shared" si="121"/>
        <v>34.700286011061799</v>
      </c>
      <c r="J148" s="19">
        <f t="shared" si="131"/>
        <v>-8.4383937845681212E-2</v>
      </c>
      <c r="K148" s="19">
        <f t="shared" si="127"/>
        <v>8.4383937845681212E-2</v>
      </c>
    </row>
    <row r="149" spans="2:11" x14ac:dyDescent="0.25">
      <c r="B149" s="15" t="s">
        <v>9</v>
      </c>
      <c r="C149" s="15">
        <v>2024</v>
      </c>
      <c r="D149" s="16">
        <v>29</v>
      </c>
      <c r="E149" s="19">
        <f t="shared" ref="E149:F149" si="148">($N$123)*D149+($N$124)*E148</f>
        <v>29.94733810091973</v>
      </c>
      <c r="F149" s="19">
        <f t="shared" si="148"/>
        <v>30.090260757683343</v>
      </c>
      <c r="G149" s="19">
        <f t="shared" si="119"/>
        <v>29.804415444156117</v>
      </c>
      <c r="H149" s="19">
        <f t="shared" si="120"/>
        <v>-0.2143839851454192</v>
      </c>
      <c r="I149" s="19">
        <f t="shared" si="121"/>
        <v>34.027596525975731</v>
      </c>
      <c r="J149" s="19">
        <f t="shared" si="131"/>
        <v>-0.17336539744743901</v>
      </c>
      <c r="K149" s="19">
        <f t="shared" si="127"/>
        <v>0.17336539744743901</v>
      </c>
    </row>
    <row r="150" spans="2:11" x14ac:dyDescent="0.25">
      <c r="B150" s="15" t="s">
        <v>10</v>
      </c>
      <c r="C150" s="15">
        <v>2024</v>
      </c>
      <c r="D150" s="16">
        <v>26</v>
      </c>
      <c r="E150" s="19">
        <f t="shared" ref="E150:F150" si="149">($N$123)*D150+($N$124)*E149</f>
        <v>27.57893524036789</v>
      </c>
      <c r="F150" s="19">
        <f t="shared" si="149"/>
        <v>28.583465447294071</v>
      </c>
      <c r="G150" s="19">
        <f t="shared" si="119"/>
        <v>26.57440503344171</v>
      </c>
      <c r="H150" s="19">
        <f t="shared" si="120"/>
        <v>-1.5067953103892699</v>
      </c>
      <c r="I150" s="19">
        <f t="shared" si="121"/>
        <v>29.590031459010699</v>
      </c>
      <c r="J150" s="19">
        <f t="shared" si="131"/>
        <v>-0.13807813303887306</v>
      </c>
      <c r="K150" s="19">
        <f t="shared" si="127"/>
        <v>0.13807813303887306</v>
      </c>
    </row>
    <row r="151" spans="2:11" x14ac:dyDescent="0.25">
      <c r="B151" s="15" t="s">
        <v>11</v>
      </c>
      <c r="C151" s="15">
        <v>2024</v>
      </c>
      <c r="D151" s="16">
        <v>24</v>
      </c>
      <c r="E151" s="19">
        <f t="shared" ref="E151:F151" si="150">($N$123)*D151+($N$124)*E150</f>
        <v>25.431574096147155</v>
      </c>
      <c r="F151" s="19">
        <f t="shared" si="150"/>
        <v>26.692330636605924</v>
      </c>
      <c r="G151" s="19">
        <f t="shared" si="119"/>
        <v>24.170817555688387</v>
      </c>
      <c r="H151" s="19">
        <f t="shared" si="120"/>
        <v>-1.891134810688152</v>
      </c>
      <c r="I151" s="19">
        <f t="shared" si="121"/>
        <v>25.067609723052442</v>
      </c>
      <c r="J151" s="19">
        <f t="shared" si="131"/>
        <v>-4.4483738460518417E-2</v>
      </c>
      <c r="K151" s="19">
        <f t="shared" si="127"/>
        <v>4.4483738460518417E-2</v>
      </c>
    </row>
    <row r="152" spans="2:11" x14ac:dyDescent="0.25">
      <c r="B152" s="15" t="s">
        <v>12</v>
      </c>
      <c r="C152" s="15">
        <v>2024</v>
      </c>
      <c r="D152" s="16">
        <v>20</v>
      </c>
      <c r="E152" s="19">
        <f t="shared" ref="E152:F152" si="151">($N$123)*D152+($N$124)*E151</f>
        <v>22.172629638458865</v>
      </c>
      <c r="F152" s="19">
        <f t="shared" si="151"/>
        <v>23.980510037717689</v>
      </c>
      <c r="G152" s="19">
        <f t="shared" si="119"/>
        <v>20.364749239200041</v>
      </c>
      <c r="H152" s="19">
        <f t="shared" si="120"/>
        <v>-2.7118205988882358</v>
      </c>
      <c r="I152" s="19">
        <f t="shared" si="121"/>
        <v>22.279682745000237</v>
      </c>
      <c r="J152" s="19">
        <f t="shared" si="131"/>
        <v>-0.11398413725001184</v>
      </c>
      <c r="K152" s="19">
        <f t="shared" si="127"/>
        <v>0.11398413725001184</v>
      </c>
    </row>
    <row r="153" spans="2:11" x14ac:dyDescent="0.25">
      <c r="B153" s="15" t="s">
        <v>13</v>
      </c>
      <c r="C153" s="15">
        <v>2024</v>
      </c>
      <c r="D153" s="16">
        <v>18</v>
      </c>
      <c r="E153" s="19">
        <f t="shared" ref="E153:F153" si="152">($N$123)*D153+($N$124)*E152</f>
        <v>19.669051855383543</v>
      </c>
      <c r="F153" s="19">
        <f t="shared" si="152"/>
        <v>21.3936351283172</v>
      </c>
      <c r="G153" s="19">
        <f t="shared" si="119"/>
        <v>17.944468582449886</v>
      </c>
      <c r="H153" s="19">
        <f t="shared" si="120"/>
        <v>-2.586874909400485</v>
      </c>
      <c r="I153" s="19">
        <f t="shared" si="121"/>
        <v>17.652928640311806</v>
      </c>
      <c r="J153" s="19">
        <f t="shared" si="131"/>
        <v>1.9281742204899643E-2</v>
      </c>
      <c r="K153" s="19">
        <f t="shared" si="127"/>
        <v>1.9281742204899643E-2</v>
      </c>
    </row>
    <row r="154" spans="2:11" x14ac:dyDescent="0.25">
      <c r="B154" s="15" t="s">
        <v>2</v>
      </c>
      <c r="C154" s="15">
        <v>2024</v>
      </c>
      <c r="D154" s="16">
        <v>16</v>
      </c>
      <c r="E154" s="19">
        <f t="shared" ref="E154:F154" si="153">($N$123)*D154+($N$124)*E153</f>
        <v>17.467620742153418</v>
      </c>
      <c r="F154" s="19">
        <f t="shared" si="153"/>
        <v>19.038026496618933</v>
      </c>
      <c r="G154" s="19">
        <f t="shared" si="119"/>
        <v>15.897214987687903</v>
      </c>
      <c r="H154" s="19">
        <f t="shared" si="120"/>
        <v>-2.3556086316982721</v>
      </c>
      <c r="I154" s="19">
        <f t="shared" si="121"/>
        <v>15.357593673049401</v>
      </c>
      <c r="J154" s="19">
        <f t="shared" si="131"/>
        <v>4.0150395434412456E-2</v>
      </c>
      <c r="K154" s="19">
        <f t="shared" si="127"/>
        <v>4.0150395434412456E-2</v>
      </c>
    </row>
    <row r="155" spans="2:11" x14ac:dyDescent="0.25">
      <c r="B155" s="15" t="s">
        <v>4</v>
      </c>
      <c r="C155" s="15">
        <v>2024</v>
      </c>
      <c r="D155" s="16">
        <v>21</v>
      </c>
      <c r="E155" s="19">
        <f t="shared" ref="E155:F155" si="154">($N$123)*D155+($N$124)*E154</f>
        <v>19.587048296861369</v>
      </c>
      <c r="F155" s="19">
        <f t="shared" si="154"/>
        <v>19.367439576764394</v>
      </c>
      <c r="G155" s="19">
        <f t="shared" si="119"/>
        <v>19.806657016958344</v>
      </c>
      <c r="H155" s="19">
        <f t="shared" si="120"/>
        <v>0.32941308014546239</v>
      </c>
      <c r="I155" s="19">
        <f t="shared" si="121"/>
        <v>13.54160635598963</v>
      </c>
      <c r="J155" s="19">
        <f t="shared" si="131"/>
        <v>0.35516160209573189</v>
      </c>
      <c r="K155" s="19">
        <f t="shared" si="127"/>
        <v>0.35516160209573189</v>
      </c>
    </row>
    <row r="156" spans="2:11" x14ac:dyDescent="0.25">
      <c r="B156" s="15" t="s">
        <v>3</v>
      </c>
      <c r="C156" s="15">
        <v>2024</v>
      </c>
      <c r="D156" s="16">
        <v>23</v>
      </c>
      <c r="E156" s="19">
        <f t="shared" ref="E156:F156" si="155">($N$123)*D156+($N$124)*E155</f>
        <v>21.634819318744547</v>
      </c>
      <c r="F156" s="19">
        <f t="shared" si="155"/>
        <v>20.727867421952485</v>
      </c>
      <c r="G156" s="19">
        <f t="shared" si="119"/>
        <v>22.54177121553661</v>
      </c>
      <c r="H156" s="19">
        <f t="shared" si="120"/>
        <v>1.3604278451880931</v>
      </c>
      <c r="I156" s="19">
        <f t="shared" si="121"/>
        <v>20.136070097103804</v>
      </c>
      <c r="J156" s="19">
        <f t="shared" si="131"/>
        <v>0.12451869143026938</v>
      </c>
      <c r="K156" s="19">
        <f t="shared" si="127"/>
        <v>0.12451869143026938</v>
      </c>
    </row>
    <row r="157" spans="2:11" x14ac:dyDescent="0.25">
      <c r="B157" s="15" t="s">
        <v>5</v>
      </c>
      <c r="C157" s="15">
        <v>2024</v>
      </c>
      <c r="D157" s="16">
        <v>24</v>
      </c>
      <c r="E157" s="19">
        <f t="shared" ref="E157:F157" si="156">($N$123)*D157+($N$124)*E156</f>
        <v>23.053927727497818</v>
      </c>
      <c r="F157" s="19">
        <f t="shared" si="156"/>
        <v>22.123503605279687</v>
      </c>
      <c r="G157" s="19">
        <f t="shared" si="119"/>
        <v>23.984351849715949</v>
      </c>
      <c r="H157" s="19">
        <f t="shared" si="120"/>
        <v>1.3956361833271964</v>
      </c>
      <c r="I157" s="19">
        <f t="shared" si="121"/>
        <v>23.902199060724701</v>
      </c>
      <c r="J157" s="19">
        <f t="shared" si="131"/>
        <v>4.0750391364707816E-3</v>
      </c>
      <c r="K157" s="19">
        <f t="shared" si="127"/>
        <v>4.0750391364707816E-3</v>
      </c>
    </row>
    <row r="158" spans="2:11" x14ac:dyDescent="0.25">
      <c r="B158" s="15" t="s">
        <v>6</v>
      </c>
      <c r="C158" s="15">
        <v>2024</v>
      </c>
      <c r="D158" s="16">
        <v>28</v>
      </c>
      <c r="E158" s="19">
        <f t="shared" ref="E158:F158" si="157">($N$123)*D158+($N$124)*E157</f>
        <v>26.021571090999128</v>
      </c>
      <c r="F158" s="19">
        <f t="shared" si="157"/>
        <v>24.462344096711348</v>
      </c>
      <c r="G158" s="19">
        <f t="shared" si="119"/>
        <v>27.580798085286908</v>
      </c>
      <c r="H158" s="19">
        <f t="shared" si="120"/>
        <v>2.3388404914316694</v>
      </c>
      <c r="I158" s="19">
        <f t="shared" si="121"/>
        <v>25.379988033043144</v>
      </c>
      <c r="J158" s="19">
        <f t="shared" si="131"/>
        <v>9.3571855962744852E-2</v>
      </c>
      <c r="K158" s="19">
        <f t="shared" si="127"/>
        <v>9.3571855962744852E-2</v>
      </c>
    </row>
    <row r="159" spans="2:11" x14ac:dyDescent="0.25">
      <c r="B159" s="15" t="s">
        <v>7</v>
      </c>
      <c r="C159" s="15">
        <v>2024</v>
      </c>
      <c r="D159" s="16">
        <v>29</v>
      </c>
      <c r="E159" s="19">
        <f t="shared" ref="E159" si="158">($N$123)*D159+($N$124)*E158</f>
        <v>27.808628436399651</v>
      </c>
      <c r="F159" s="19">
        <f t="shared" ref="F159" si="159">($N$123)*E159+($N$124)*F158</f>
        <v>26.470114700524331</v>
      </c>
      <c r="G159" s="19">
        <f t="shared" ref="G159" si="160">2*(E159)-(F159)</f>
        <v>29.147142172274972</v>
      </c>
      <c r="H159" s="19">
        <f t="shared" ref="H159" si="161">$N$123/$N$124*(E159-F159)</f>
        <v>2.0077706038129803</v>
      </c>
      <c r="I159" s="19">
        <f t="shared" ref="I159" si="162">G158+H158</f>
        <v>29.919638576718576</v>
      </c>
      <c r="J159" s="19">
        <f>(D159-I159)/D159</f>
        <v>-3.1711675059261243E-2</v>
      </c>
      <c r="K159" s="19">
        <f t="shared" si="127"/>
        <v>3.1711675059261243E-2</v>
      </c>
    </row>
    <row r="160" spans="2:11" x14ac:dyDescent="0.25">
      <c r="B160" s="21" t="s">
        <v>8</v>
      </c>
      <c r="C160" s="21">
        <v>2024</v>
      </c>
      <c r="D160" s="22"/>
      <c r="E160" s="8"/>
      <c r="F160" s="8"/>
      <c r="G160" s="8"/>
      <c r="H160" s="8"/>
      <c r="I160" s="8">
        <f>G159+H159</f>
        <v>31.154912776087951</v>
      </c>
      <c r="J160" s="8" t="s">
        <v>21</v>
      </c>
      <c r="K160" s="20">
        <f>100/36*SUM(K125:K159)</f>
        <v>10.748154777949194</v>
      </c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7080-6886-41F4-9B24-346692D09370}">
  <dimension ref="B3:Y80"/>
  <sheetViews>
    <sheetView topLeftCell="A15" zoomScale="85" zoomScaleNormal="85" workbookViewId="0">
      <selection activeCell="D29" sqref="D29:D39"/>
    </sheetView>
  </sheetViews>
  <sheetFormatPr defaultRowHeight="15" x14ac:dyDescent="0.25"/>
  <cols>
    <col min="2" max="2" width="10.85546875" bestFit="1" customWidth="1"/>
    <col min="3" max="3" width="6.42578125" bestFit="1" customWidth="1"/>
    <col min="4" max="4" width="6.7109375" style="17" bestFit="1" customWidth="1"/>
    <col min="5" max="7" width="12.28515625" bestFit="1" customWidth="1"/>
    <col min="8" max="8" width="12.85546875" bestFit="1" customWidth="1"/>
    <col min="9" max="9" width="12.28515625" bestFit="1" customWidth="1"/>
    <col min="10" max="10" width="12.85546875" bestFit="1" customWidth="1"/>
    <col min="11" max="11" width="12.28515625" bestFit="1" customWidth="1"/>
  </cols>
  <sheetData>
    <row r="3" spans="2:14" x14ac:dyDescent="0.25">
      <c r="B3" s="18" t="s">
        <v>0</v>
      </c>
      <c r="C3" s="18" t="s">
        <v>1</v>
      </c>
      <c r="D3" s="18" t="s">
        <v>22</v>
      </c>
      <c r="E3" s="18" t="s">
        <v>14</v>
      </c>
      <c r="F3" s="18" t="s">
        <v>15</v>
      </c>
      <c r="G3" s="18" t="s">
        <v>16</v>
      </c>
      <c r="H3" s="18" t="s">
        <v>17</v>
      </c>
      <c r="I3" s="18" t="s">
        <v>18</v>
      </c>
      <c r="J3" s="18" t="s">
        <v>19</v>
      </c>
      <c r="K3" s="18" t="s">
        <v>20</v>
      </c>
      <c r="N3" s="11">
        <v>0.9</v>
      </c>
    </row>
    <row r="4" spans="2:14" x14ac:dyDescent="0.25">
      <c r="B4" s="15" t="s">
        <v>8</v>
      </c>
      <c r="C4" s="15">
        <v>2021</v>
      </c>
      <c r="D4" s="16">
        <v>24</v>
      </c>
      <c r="E4" s="23">
        <v>24</v>
      </c>
      <c r="F4" s="23">
        <v>24</v>
      </c>
      <c r="G4" s="23">
        <v>24</v>
      </c>
      <c r="H4" s="19">
        <v>0</v>
      </c>
      <c r="I4" s="19"/>
      <c r="J4" s="19"/>
      <c r="K4" s="19"/>
      <c r="N4" s="11">
        <v>0.1</v>
      </c>
    </row>
    <row r="5" spans="2:14" x14ac:dyDescent="0.25">
      <c r="B5" s="15" t="s">
        <v>9</v>
      </c>
      <c r="C5" s="15">
        <v>2022</v>
      </c>
      <c r="D5" s="16">
        <v>26</v>
      </c>
      <c r="E5" s="19">
        <f>($N$3)*D5+($N$4)*E4</f>
        <v>25.800000000000004</v>
      </c>
      <c r="F5" s="19">
        <f>($N$3)*E5+($N$4)*F4</f>
        <v>25.620000000000005</v>
      </c>
      <c r="G5" s="19">
        <f>2*(E5)-(F5)</f>
        <v>25.980000000000004</v>
      </c>
      <c r="H5" s="19">
        <f>$N$3/$N$4*(E5-F5)</f>
        <v>1.6199999999999974</v>
      </c>
      <c r="I5" s="19">
        <f>G4+H4</f>
        <v>24</v>
      </c>
      <c r="J5" s="19">
        <f>(D5-I5)/D5</f>
        <v>7.6923076923076927E-2</v>
      </c>
      <c r="K5" s="19">
        <f>ABS(J5)</f>
        <v>7.6923076923076927E-2</v>
      </c>
      <c r="N5" t="s">
        <v>36</v>
      </c>
    </row>
    <row r="6" spans="2:14" x14ac:dyDescent="0.25">
      <c r="B6" s="15" t="s">
        <v>10</v>
      </c>
      <c r="C6" s="15">
        <v>2022</v>
      </c>
      <c r="D6" s="16">
        <v>28</v>
      </c>
      <c r="E6" s="19">
        <f t="shared" ref="E6:F6" si="0">($N$3)*D6+($N$4)*E5</f>
        <v>27.78</v>
      </c>
      <c r="F6" s="19">
        <f t="shared" si="0"/>
        <v>27.564000000000004</v>
      </c>
      <c r="G6" s="19">
        <f t="shared" ref="G6:G39" si="1">2*(E6)-(F6)</f>
        <v>27.995999999999999</v>
      </c>
      <c r="H6" s="19">
        <f t="shared" ref="H6:H39" si="2">$N$3/$N$4*(E6-F6)</f>
        <v>1.9439999999999777</v>
      </c>
      <c r="I6" s="19">
        <f t="shared" ref="I6:I39" si="3">G5+H5</f>
        <v>27.6</v>
      </c>
      <c r="J6" s="19">
        <f>(D6-I6)/D6</f>
        <v>1.4285714285714235E-2</v>
      </c>
      <c r="K6" s="19">
        <f t="shared" ref="K6:K39" si="4">ABS(J6)</f>
        <v>1.4285714285714235E-2</v>
      </c>
    </row>
    <row r="7" spans="2:14" x14ac:dyDescent="0.25">
      <c r="B7" s="15" t="s">
        <v>11</v>
      </c>
      <c r="C7" s="15">
        <v>2022</v>
      </c>
      <c r="D7" s="16">
        <v>29</v>
      </c>
      <c r="E7" s="19">
        <f t="shared" ref="E7:F7" si="5">($N$3)*D7+($N$4)*E6</f>
        <v>28.878</v>
      </c>
      <c r="F7" s="19">
        <f t="shared" si="5"/>
        <v>28.746600000000001</v>
      </c>
      <c r="G7" s="19">
        <f t="shared" si="1"/>
        <v>29.009399999999999</v>
      </c>
      <c r="H7" s="19">
        <f t="shared" si="2"/>
        <v>1.1825999999999937</v>
      </c>
      <c r="I7" s="19">
        <f t="shared" si="3"/>
        <v>29.939999999999976</v>
      </c>
      <c r="J7" s="19">
        <f t="shared" ref="J7:J39" si="6">(D7-I7)/D7</f>
        <v>-3.2413793103447462E-2</v>
      </c>
      <c r="K7" s="19">
        <f>ABS(J7)</f>
        <v>3.2413793103447462E-2</v>
      </c>
    </row>
    <row r="8" spans="2:14" x14ac:dyDescent="0.25">
      <c r="B8" s="15" t="s">
        <v>12</v>
      </c>
      <c r="C8" s="15">
        <v>2022</v>
      </c>
      <c r="D8" s="16">
        <v>30</v>
      </c>
      <c r="E8" s="19">
        <f t="shared" ref="E8:F8" si="7">($N$3)*D8+($N$4)*E7</f>
        <v>29.887799999999999</v>
      </c>
      <c r="F8" s="19">
        <f t="shared" si="7"/>
        <v>29.773679999999999</v>
      </c>
      <c r="G8" s="19">
        <f t="shared" si="1"/>
        <v>30.001919999999998</v>
      </c>
      <c r="H8" s="19">
        <f t="shared" si="2"/>
        <v>1.027079999999998</v>
      </c>
      <c r="I8" s="19">
        <f t="shared" si="3"/>
        <v>30.191999999999993</v>
      </c>
      <c r="J8" s="19">
        <f t="shared" si="6"/>
        <v>-6.3999999999997687E-3</v>
      </c>
      <c r="K8" s="19">
        <f t="shared" si="4"/>
        <v>6.3999999999997687E-3</v>
      </c>
    </row>
    <row r="9" spans="2:14" x14ac:dyDescent="0.25">
      <c r="B9" s="15" t="s">
        <v>13</v>
      </c>
      <c r="C9" s="15">
        <v>2022</v>
      </c>
      <c r="D9" s="16">
        <v>30</v>
      </c>
      <c r="E9" s="19">
        <f t="shared" ref="E9:F9" si="8">($N$3)*D9+($N$4)*E8</f>
        <v>29.988779999999998</v>
      </c>
      <c r="F9" s="19">
        <f t="shared" si="8"/>
        <v>29.967269999999999</v>
      </c>
      <c r="G9" s="19">
        <f t="shared" si="1"/>
        <v>30.010289999999998</v>
      </c>
      <c r="H9" s="19">
        <f t="shared" si="2"/>
        <v>0.19358999999999327</v>
      </c>
      <c r="I9" s="19">
        <f t="shared" si="3"/>
        <v>31.028999999999996</v>
      </c>
      <c r="J9" s="19">
        <f t="shared" si="6"/>
        <v>-3.4299999999999879E-2</v>
      </c>
      <c r="K9" s="19">
        <f t="shared" si="4"/>
        <v>3.4299999999999879E-2</v>
      </c>
    </row>
    <row r="10" spans="2:14" x14ac:dyDescent="0.25">
      <c r="B10" s="15" t="s">
        <v>2</v>
      </c>
      <c r="C10" s="15">
        <v>2022</v>
      </c>
      <c r="D10" s="16">
        <v>32</v>
      </c>
      <c r="E10" s="19">
        <f t="shared" ref="E10:F10" si="9">($N$3)*D10+($N$4)*E9</f>
        <v>31.798878000000002</v>
      </c>
      <c r="F10" s="19">
        <f t="shared" si="9"/>
        <v>31.615717200000002</v>
      </c>
      <c r="G10" s="19">
        <f t="shared" si="1"/>
        <v>31.982038800000002</v>
      </c>
      <c r="H10" s="19">
        <f t="shared" si="2"/>
        <v>1.6484471999999961</v>
      </c>
      <c r="I10" s="19">
        <f t="shared" si="3"/>
        <v>30.203879999999991</v>
      </c>
      <c r="J10" s="19">
        <f t="shared" si="6"/>
        <v>5.6128750000000283E-2</v>
      </c>
      <c r="K10" s="19">
        <f t="shared" si="4"/>
        <v>5.6128750000000283E-2</v>
      </c>
    </row>
    <row r="11" spans="2:14" x14ac:dyDescent="0.25">
      <c r="B11" s="15" t="s">
        <v>4</v>
      </c>
      <c r="C11" s="15">
        <v>2022</v>
      </c>
      <c r="D11" s="16">
        <v>29</v>
      </c>
      <c r="E11" s="19">
        <f t="shared" ref="E11:F11" si="10">($N$3)*D11+($N$4)*E10</f>
        <v>29.279887800000001</v>
      </c>
      <c r="F11" s="19">
        <f t="shared" si="10"/>
        <v>29.513470740000002</v>
      </c>
      <c r="G11" s="19">
        <f t="shared" si="1"/>
        <v>29.046304859999999</v>
      </c>
      <c r="H11" s="19">
        <f t="shared" si="2"/>
        <v>-2.1022464600000141</v>
      </c>
      <c r="I11" s="19">
        <f t="shared" si="3"/>
        <v>33.630485999999998</v>
      </c>
      <c r="J11" s="19">
        <f t="shared" si="6"/>
        <v>-0.15967193103448268</v>
      </c>
      <c r="K11" s="19">
        <f t="shared" si="4"/>
        <v>0.15967193103448268</v>
      </c>
    </row>
    <row r="12" spans="2:14" x14ac:dyDescent="0.25">
      <c r="B12" s="15" t="s">
        <v>3</v>
      </c>
      <c r="C12" s="15">
        <v>2022</v>
      </c>
      <c r="D12" s="16">
        <v>27</v>
      </c>
      <c r="E12" s="19">
        <f t="shared" ref="E12:F12" si="11">($N$3)*D12+($N$4)*E11</f>
        <v>27.22798878</v>
      </c>
      <c r="F12" s="19">
        <f t="shared" si="11"/>
        <v>27.456536976000002</v>
      </c>
      <c r="G12" s="19">
        <f t="shared" si="1"/>
        <v>26.999440583999998</v>
      </c>
      <c r="H12" s="19">
        <f t="shared" si="2"/>
        <v>-2.0569337640000178</v>
      </c>
      <c r="I12" s="19">
        <f t="shared" si="3"/>
        <v>26.944058399999985</v>
      </c>
      <c r="J12" s="19">
        <f t="shared" si="6"/>
        <v>2.0719111111116594E-3</v>
      </c>
      <c r="K12" s="19">
        <f t="shared" si="4"/>
        <v>2.0719111111116594E-3</v>
      </c>
    </row>
    <row r="13" spans="2:14" x14ac:dyDescent="0.25">
      <c r="B13" s="15" t="s">
        <v>5</v>
      </c>
      <c r="C13" s="15">
        <v>2022</v>
      </c>
      <c r="D13" s="16">
        <v>25</v>
      </c>
      <c r="E13" s="19">
        <f t="shared" ref="E13:F13" si="12">($N$3)*D13+($N$4)*E12</f>
        <v>25.222798877999999</v>
      </c>
      <c r="F13" s="19">
        <f t="shared" si="12"/>
        <v>25.446172687800001</v>
      </c>
      <c r="G13" s="19">
        <f t="shared" si="1"/>
        <v>24.999425068199997</v>
      </c>
      <c r="H13" s="19">
        <f t="shared" si="2"/>
        <v>-2.0103642882000159</v>
      </c>
      <c r="I13" s="19">
        <f t="shared" si="3"/>
        <v>24.942506819999981</v>
      </c>
      <c r="J13" s="19">
        <f t="shared" si="6"/>
        <v>2.2997272000007739E-3</v>
      </c>
      <c r="K13" s="19">
        <f t="shared" si="4"/>
        <v>2.2997272000007739E-3</v>
      </c>
    </row>
    <row r="14" spans="2:14" x14ac:dyDescent="0.25">
      <c r="B14" s="15" t="s">
        <v>6</v>
      </c>
      <c r="C14" s="15">
        <v>2022</v>
      </c>
      <c r="D14" s="16">
        <v>25</v>
      </c>
      <c r="E14" s="19">
        <f t="shared" ref="E14:F14" si="13">($N$3)*D14+($N$4)*E13</f>
        <v>25.0222798878</v>
      </c>
      <c r="F14" s="19">
        <f t="shared" si="13"/>
        <v>25.064669167800002</v>
      </c>
      <c r="G14" s="19">
        <f t="shared" si="1"/>
        <v>24.979890607799998</v>
      </c>
      <c r="H14" s="19">
        <f t="shared" si="2"/>
        <v>-0.38150352000001675</v>
      </c>
      <c r="I14" s="19">
        <f t="shared" si="3"/>
        <v>22.989060779999981</v>
      </c>
      <c r="J14" s="19">
        <f t="shared" si="6"/>
        <v>8.0437568800000747E-2</v>
      </c>
      <c r="K14" s="19">
        <f t="shared" si="4"/>
        <v>8.0437568800000747E-2</v>
      </c>
    </row>
    <row r="15" spans="2:14" x14ac:dyDescent="0.25">
      <c r="B15" s="15" t="s">
        <v>7</v>
      </c>
      <c r="C15" s="15">
        <v>2022</v>
      </c>
      <c r="D15" s="16">
        <v>23</v>
      </c>
      <c r="E15" s="19">
        <f t="shared" ref="E15:F15" si="14">($N$3)*D15+($N$4)*E14</f>
        <v>23.202227988779999</v>
      </c>
      <c r="F15" s="19">
        <f t="shared" si="14"/>
        <v>23.388472106681998</v>
      </c>
      <c r="G15" s="19">
        <f t="shared" si="1"/>
        <v>23.015983870877999</v>
      </c>
      <c r="H15" s="19">
        <f t="shared" si="2"/>
        <v>-1.6761970611179962</v>
      </c>
      <c r="I15" s="19">
        <f t="shared" si="3"/>
        <v>24.598387087799981</v>
      </c>
      <c r="J15" s="19">
        <f t="shared" si="6"/>
        <v>-6.9495090773912235E-2</v>
      </c>
      <c r="K15" s="19">
        <f t="shared" si="4"/>
        <v>6.9495090773912235E-2</v>
      </c>
    </row>
    <row r="16" spans="2:14" x14ac:dyDescent="0.25">
      <c r="B16" s="15" t="s">
        <v>8</v>
      </c>
      <c r="C16" s="15">
        <v>2022</v>
      </c>
      <c r="D16" s="16">
        <v>21</v>
      </c>
      <c r="E16" s="19">
        <f t="shared" ref="E16:F16" si="15">($N$3)*D16+($N$4)*E15</f>
        <v>21.220222798878002</v>
      </c>
      <c r="F16" s="19">
        <f t="shared" si="15"/>
        <v>21.437047729658399</v>
      </c>
      <c r="G16" s="19">
        <f t="shared" si="1"/>
        <v>21.003397868097604</v>
      </c>
      <c r="H16" s="19">
        <f t="shared" si="2"/>
        <v>-1.951424377023578</v>
      </c>
      <c r="I16" s="19">
        <f t="shared" si="3"/>
        <v>21.339786809760003</v>
      </c>
      <c r="J16" s="19">
        <f t="shared" si="6"/>
        <v>-1.6180324274285868E-2</v>
      </c>
      <c r="K16" s="19">
        <f t="shared" si="4"/>
        <v>1.6180324274285868E-2</v>
      </c>
    </row>
    <row r="17" spans="2:25" x14ac:dyDescent="0.25">
      <c r="B17" s="15" t="s">
        <v>9</v>
      </c>
      <c r="C17" s="15">
        <v>2023</v>
      </c>
      <c r="D17" s="16">
        <v>22</v>
      </c>
      <c r="E17" s="19">
        <f t="shared" ref="E17:F17" si="16">($N$3)*D17+($N$4)*E16</f>
        <v>21.922022279887802</v>
      </c>
      <c r="F17" s="19">
        <f t="shared" si="16"/>
        <v>21.873524824864862</v>
      </c>
      <c r="G17" s="19">
        <f t="shared" si="1"/>
        <v>21.970519734910742</v>
      </c>
      <c r="H17" s="19">
        <f t="shared" si="2"/>
        <v>0.43647709520645606</v>
      </c>
      <c r="I17" s="19">
        <f t="shared" si="3"/>
        <v>19.051973491074026</v>
      </c>
      <c r="J17" s="19">
        <f t="shared" si="6"/>
        <v>0.13400120495118062</v>
      </c>
      <c r="K17" s="19">
        <f t="shared" si="4"/>
        <v>0.13400120495118062</v>
      </c>
    </row>
    <row r="18" spans="2:25" x14ac:dyDescent="0.25">
      <c r="B18" s="15" t="s">
        <v>10</v>
      </c>
      <c r="C18" s="15">
        <v>2023</v>
      </c>
      <c r="D18" s="16">
        <v>24</v>
      </c>
      <c r="E18" s="19">
        <f t="shared" ref="E18:F18" si="17">($N$3)*D18+($N$4)*E17</f>
        <v>23.792202227988781</v>
      </c>
      <c r="F18" s="19">
        <f t="shared" si="17"/>
        <v>23.600334487676388</v>
      </c>
      <c r="G18" s="19">
        <f t="shared" si="1"/>
        <v>23.984069968301174</v>
      </c>
      <c r="H18" s="19">
        <f t="shared" si="2"/>
        <v>1.7268096628115366</v>
      </c>
      <c r="I18" s="19">
        <f t="shared" si="3"/>
        <v>22.406996830117198</v>
      </c>
      <c r="J18" s="19">
        <f t="shared" si="6"/>
        <v>6.6375132078450097E-2</v>
      </c>
      <c r="K18" s="19">
        <f t="shared" si="4"/>
        <v>6.6375132078450097E-2</v>
      </c>
    </row>
    <row r="19" spans="2:25" x14ac:dyDescent="0.25">
      <c r="B19" s="15" t="s">
        <v>11</v>
      </c>
      <c r="C19" s="15">
        <v>2023</v>
      </c>
      <c r="D19" s="16">
        <v>25</v>
      </c>
      <c r="E19" s="19">
        <f t="shared" ref="E19:F19" si="18">($N$3)*D19+($N$4)*E18</f>
        <v>24.879220222798878</v>
      </c>
      <c r="F19" s="19">
        <f t="shared" si="18"/>
        <v>24.75133164928663</v>
      </c>
      <c r="G19" s="19">
        <f t="shared" si="1"/>
        <v>25.007108796311126</v>
      </c>
      <c r="H19" s="19">
        <f t="shared" si="2"/>
        <v>1.1509971616102312</v>
      </c>
      <c r="I19" s="19">
        <f t="shared" si="3"/>
        <v>25.710879631112711</v>
      </c>
      <c r="J19" s="19">
        <f t="shared" si="6"/>
        <v>-2.8435185244508433E-2</v>
      </c>
      <c r="K19" s="19">
        <f t="shared" si="4"/>
        <v>2.8435185244508433E-2</v>
      </c>
    </row>
    <row r="20" spans="2:25" x14ac:dyDescent="0.25">
      <c r="B20" s="15" t="s">
        <v>12</v>
      </c>
      <c r="C20" s="15">
        <v>2023</v>
      </c>
      <c r="D20" s="16">
        <v>29</v>
      </c>
      <c r="E20" s="19">
        <f t="shared" ref="E20:F20" si="19">($N$3)*D20+($N$4)*E19</f>
        <v>28.587922022279891</v>
      </c>
      <c r="F20" s="19">
        <f t="shared" si="19"/>
        <v>28.204262984980566</v>
      </c>
      <c r="G20" s="19">
        <f t="shared" si="1"/>
        <v>28.971581059579215</v>
      </c>
      <c r="H20" s="19">
        <f t="shared" si="2"/>
        <v>3.4529313356939184</v>
      </c>
      <c r="I20" s="19">
        <f t="shared" si="3"/>
        <v>26.158105957921357</v>
      </c>
      <c r="J20" s="19">
        <f t="shared" si="6"/>
        <v>9.7996346278573884E-2</v>
      </c>
      <c r="K20" s="19">
        <f t="shared" si="4"/>
        <v>9.7996346278573884E-2</v>
      </c>
    </row>
    <row r="21" spans="2:25" x14ac:dyDescent="0.25">
      <c r="B21" s="15" t="s">
        <v>13</v>
      </c>
      <c r="C21" s="15">
        <v>2023</v>
      </c>
      <c r="D21" s="16">
        <v>33</v>
      </c>
      <c r="E21" s="19">
        <f t="shared" ref="E21:F21" si="20">($N$3)*D21+($N$4)*E20</f>
        <v>32.558792202227991</v>
      </c>
      <c r="F21" s="19">
        <f t="shared" si="20"/>
        <v>32.123339280503252</v>
      </c>
      <c r="G21" s="19">
        <f t="shared" si="1"/>
        <v>32.99424512395273</v>
      </c>
      <c r="H21" s="19">
        <f t="shared" si="2"/>
        <v>3.9190762955226504</v>
      </c>
      <c r="I21" s="19">
        <f t="shared" si="3"/>
        <v>32.424512395273133</v>
      </c>
      <c r="J21" s="19">
        <f t="shared" si="6"/>
        <v>1.7439018325056566E-2</v>
      </c>
      <c r="K21" s="19">
        <f t="shared" si="4"/>
        <v>1.7439018325056566E-2</v>
      </c>
    </row>
    <row r="22" spans="2:25" x14ac:dyDescent="0.25">
      <c r="B22" s="15" t="s">
        <v>2</v>
      </c>
      <c r="C22" s="15">
        <v>2023</v>
      </c>
      <c r="D22" s="16">
        <v>34</v>
      </c>
      <c r="E22" s="19">
        <f t="shared" ref="E22:F22" si="21">($N$3)*D22+($N$4)*E21</f>
        <v>33.855879220222803</v>
      </c>
      <c r="F22" s="19">
        <f t="shared" si="21"/>
        <v>33.682625226250849</v>
      </c>
      <c r="G22" s="19">
        <f t="shared" si="1"/>
        <v>34.029133214194758</v>
      </c>
      <c r="H22" s="19">
        <f t="shared" si="2"/>
        <v>1.5592859457475896</v>
      </c>
      <c r="I22" s="19">
        <f t="shared" si="3"/>
        <v>36.91332141947538</v>
      </c>
      <c r="J22" s="19">
        <f t="shared" si="6"/>
        <v>-8.5685924102217079E-2</v>
      </c>
      <c r="K22" s="19">
        <f t="shared" si="4"/>
        <v>8.5685924102217079E-2</v>
      </c>
    </row>
    <row r="23" spans="2:25" x14ac:dyDescent="0.25">
      <c r="B23" s="15" t="s">
        <v>4</v>
      </c>
      <c r="C23" s="15">
        <v>2023</v>
      </c>
      <c r="D23" s="16">
        <v>30</v>
      </c>
      <c r="E23" s="19">
        <f t="shared" ref="E23:F23" si="22">($N$3)*D23+($N$4)*E22</f>
        <v>30.385587922022282</v>
      </c>
      <c r="F23" s="19">
        <f t="shared" si="22"/>
        <v>30.715291652445138</v>
      </c>
      <c r="G23" s="19">
        <f t="shared" si="1"/>
        <v>30.055884191599425</v>
      </c>
      <c r="H23" s="19">
        <f t="shared" si="2"/>
        <v>-2.9673335738057105</v>
      </c>
      <c r="I23" s="19">
        <f t="shared" si="3"/>
        <v>35.588419159942347</v>
      </c>
      <c r="J23" s="19">
        <f t="shared" si="6"/>
        <v>-0.18628063866474492</v>
      </c>
      <c r="K23" s="19">
        <f t="shared" si="4"/>
        <v>0.18628063866474492</v>
      </c>
    </row>
    <row r="24" spans="2:25" x14ac:dyDescent="0.25">
      <c r="B24" s="15" t="s">
        <v>3</v>
      </c>
      <c r="C24" s="15">
        <v>2023</v>
      </c>
      <c r="D24" s="16">
        <v>27</v>
      </c>
      <c r="E24" s="19">
        <f t="shared" ref="E24:F24" si="23">($N$3)*D24+($N$4)*E23</f>
        <v>27.338558792202228</v>
      </c>
      <c r="F24" s="19">
        <f t="shared" si="23"/>
        <v>27.676232078226519</v>
      </c>
      <c r="G24" s="19">
        <f t="shared" si="1"/>
        <v>27.000885506177937</v>
      </c>
      <c r="H24" s="19">
        <f t="shared" si="2"/>
        <v>-3.0390595742186193</v>
      </c>
      <c r="I24" s="19">
        <f t="shared" si="3"/>
        <v>27.088550617793715</v>
      </c>
      <c r="J24" s="19">
        <f t="shared" si="6"/>
        <v>-3.2796525108783163E-3</v>
      </c>
      <c r="K24" s="19">
        <f t="shared" si="4"/>
        <v>3.2796525108783163E-3</v>
      </c>
    </row>
    <row r="25" spans="2:25" x14ac:dyDescent="0.25">
      <c r="B25" s="15" t="s">
        <v>5</v>
      </c>
      <c r="C25" s="15">
        <v>2023</v>
      </c>
      <c r="D25" s="16">
        <v>26</v>
      </c>
      <c r="E25" s="19">
        <f t="shared" ref="E25:F25" si="24">($N$3)*D25+($N$4)*E24</f>
        <v>26.133855879220224</v>
      </c>
      <c r="F25" s="19">
        <f t="shared" si="24"/>
        <v>26.288093499120855</v>
      </c>
      <c r="G25" s="19">
        <f t="shared" si="1"/>
        <v>25.979618259319594</v>
      </c>
      <c r="H25" s="19">
        <f t="shared" si="2"/>
        <v>-1.3881385791056751</v>
      </c>
      <c r="I25" s="19">
        <f t="shared" si="3"/>
        <v>23.961825931959318</v>
      </c>
      <c r="J25" s="19">
        <f t="shared" si="6"/>
        <v>7.8391310309257001E-2</v>
      </c>
      <c r="K25" s="19">
        <f t="shared" si="4"/>
        <v>7.8391310309257001E-2</v>
      </c>
    </row>
    <row r="26" spans="2:25" x14ac:dyDescent="0.25">
      <c r="B26" s="15" t="s">
        <v>6</v>
      </c>
      <c r="C26" s="15">
        <v>2023</v>
      </c>
      <c r="D26" s="16">
        <v>25</v>
      </c>
      <c r="E26" s="19">
        <f t="shared" ref="E26:F26" si="25">($N$3)*D26+($N$4)*E25</f>
        <v>25.113385587922021</v>
      </c>
      <c r="F26" s="19">
        <f t="shared" si="25"/>
        <v>25.230856379041906</v>
      </c>
      <c r="G26" s="19">
        <f t="shared" si="1"/>
        <v>24.995914796802136</v>
      </c>
      <c r="H26" s="19">
        <f t="shared" si="2"/>
        <v>-1.0572371200789661</v>
      </c>
      <c r="I26" s="19">
        <f t="shared" si="3"/>
        <v>24.591479680213919</v>
      </c>
      <c r="J26" s="19">
        <f t="shared" si="6"/>
        <v>1.6340812791443254E-2</v>
      </c>
      <c r="K26" s="19">
        <f t="shared" si="4"/>
        <v>1.6340812791443254E-2</v>
      </c>
    </row>
    <row r="27" spans="2:25" x14ac:dyDescent="0.25">
      <c r="B27" s="15" t="s">
        <v>7</v>
      </c>
      <c r="C27" s="15">
        <v>2023</v>
      </c>
      <c r="D27" s="16">
        <v>21</v>
      </c>
      <c r="E27" s="19">
        <f t="shared" ref="E27:F27" si="26">($N$3)*D27+($N$4)*E26</f>
        <v>21.411338558792202</v>
      </c>
      <c r="F27" s="19">
        <f t="shared" si="26"/>
        <v>21.793290340817176</v>
      </c>
      <c r="G27" s="19">
        <f t="shared" si="1"/>
        <v>21.029386776767229</v>
      </c>
      <c r="H27" s="19">
        <f t="shared" si="2"/>
        <v>-3.4375660382247624</v>
      </c>
      <c r="I27" s="19">
        <f t="shared" si="3"/>
        <v>23.93867767672317</v>
      </c>
      <c r="J27" s="19">
        <f t="shared" si="6"/>
        <v>-0.13993703222491286</v>
      </c>
      <c r="K27" s="19">
        <f t="shared" si="4"/>
        <v>0.13993703222491286</v>
      </c>
      <c r="N27" s="16">
        <v>22</v>
      </c>
      <c r="O27" s="16">
        <v>24</v>
      </c>
      <c r="P27" s="16">
        <v>25</v>
      </c>
      <c r="Q27" s="16">
        <v>29</v>
      </c>
      <c r="R27" s="16">
        <v>33</v>
      </c>
      <c r="S27" s="16">
        <v>34</v>
      </c>
      <c r="T27" s="16">
        <v>30</v>
      </c>
      <c r="U27" s="16">
        <v>27</v>
      </c>
      <c r="V27" s="16">
        <v>26</v>
      </c>
      <c r="W27" s="16">
        <v>25</v>
      </c>
      <c r="X27" s="16">
        <v>21</v>
      </c>
      <c r="Y27" s="16">
        <v>18</v>
      </c>
    </row>
    <row r="28" spans="2:25" x14ac:dyDescent="0.25">
      <c r="B28" s="15" t="s">
        <v>8</v>
      </c>
      <c r="C28" s="15">
        <v>2023</v>
      </c>
      <c r="D28" s="16">
        <v>18</v>
      </c>
      <c r="E28" s="19">
        <f t="shared" ref="E28:F28" si="27">($N$3)*D28+($N$4)*E27</f>
        <v>18.341133855879221</v>
      </c>
      <c r="F28" s="19">
        <f t="shared" si="27"/>
        <v>18.686349504373016</v>
      </c>
      <c r="G28" s="19">
        <f t="shared" si="1"/>
        <v>17.995918207385426</v>
      </c>
      <c r="H28" s="19">
        <f t="shared" si="2"/>
        <v>-3.1069408364441564</v>
      </c>
      <c r="I28" s="19">
        <f t="shared" si="3"/>
        <v>17.591820738542467</v>
      </c>
      <c r="J28" s="19">
        <f t="shared" si="6"/>
        <v>2.2676625636529637E-2</v>
      </c>
      <c r="K28" s="19">
        <f t="shared" si="4"/>
        <v>2.2676625636529637E-2</v>
      </c>
    </row>
    <row r="29" spans="2:25" x14ac:dyDescent="0.25">
      <c r="B29" s="15" t="s">
        <v>9</v>
      </c>
      <c r="C29" s="15">
        <v>2024</v>
      </c>
      <c r="D29" s="16">
        <v>20</v>
      </c>
      <c r="E29" s="19">
        <f t="shared" ref="E29:F29" si="28">($N$3)*D29+($N$4)*E28</f>
        <v>19.834113385587923</v>
      </c>
      <c r="F29" s="19">
        <f t="shared" si="28"/>
        <v>19.719336997466431</v>
      </c>
      <c r="G29" s="19">
        <f t="shared" si="1"/>
        <v>19.948889773709414</v>
      </c>
      <c r="H29" s="19">
        <f t="shared" si="2"/>
        <v>1.0329874930934224</v>
      </c>
      <c r="I29" s="19">
        <f t="shared" si="3"/>
        <v>14.888977370941269</v>
      </c>
      <c r="J29" s="19">
        <f t="shared" si="6"/>
        <v>0.25555113145293651</v>
      </c>
      <c r="K29" s="19">
        <f t="shared" si="4"/>
        <v>0.25555113145293651</v>
      </c>
    </row>
    <row r="30" spans="2:25" x14ac:dyDescent="0.25">
      <c r="B30" s="15" t="s">
        <v>10</v>
      </c>
      <c r="C30" s="15">
        <v>2024</v>
      </c>
      <c r="D30" s="16">
        <v>24</v>
      </c>
      <c r="E30" s="19">
        <f t="shared" ref="E30:F30" si="29">($N$3)*D30+($N$4)*E29</f>
        <v>23.583411338558793</v>
      </c>
      <c r="F30" s="19">
        <f t="shared" si="29"/>
        <v>23.197003904449556</v>
      </c>
      <c r="G30" s="19">
        <f t="shared" si="1"/>
        <v>23.969818772668031</v>
      </c>
      <c r="H30" s="19">
        <f t="shared" si="2"/>
        <v>3.4776669069831385</v>
      </c>
      <c r="I30" s="19">
        <f t="shared" si="3"/>
        <v>20.981877266802837</v>
      </c>
      <c r="J30" s="19">
        <f t="shared" si="6"/>
        <v>0.12575511388321514</v>
      </c>
      <c r="K30" s="19">
        <f t="shared" si="4"/>
        <v>0.12575511388321514</v>
      </c>
    </row>
    <row r="31" spans="2:25" x14ac:dyDescent="0.25">
      <c r="B31" s="15" t="s">
        <v>11</v>
      </c>
      <c r="C31" s="15">
        <v>2024</v>
      </c>
      <c r="D31" s="16">
        <v>27</v>
      </c>
      <c r="E31" s="19">
        <f t="shared" ref="E31:F31" si="30">($N$3)*D31+($N$4)*E30</f>
        <v>26.658341133855881</v>
      </c>
      <c r="F31" s="19">
        <f t="shared" si="30"/>
        <v>26.312207410915249</v>
      </c>
      <c r="G31" s="19">
        <f t="shared" si="1"/>
        <v>27.004474856796513</v>
      </c>
      <c r="H31" s="19">
        <f t="shared" si="2"/>
        <v>3.1152035064656864</v>
      </c>
      <c r="I31" s="19">
        <f t="shared" si="3"/>
        <v>27.447485679651169</v>
      </c>
      <c r="J31" s="19">
        <f t="shared" si="6"/>
        <v>-1.6573543690784055E-2</v>
      </c>
      <c r="K31" s="19">
        <f t="shared" si="4"/>
        <v>1.6573543690784055E-2</v>
      </c>
    </row>
    <row r="32" spans="2:25" x14ac:dyDescent="0.25">
      <c r="B32" s="15" t="s">
        <v>12</v>
      </c>
      <c r="C32" s="15">
        <v>2024</v>
      </c>
      <c r="D32" s="16">
        <v>28</v>
      </c>
      <c r="E32" s="19">
        <f t="shared" ref="E32:F32" si="31">($N$3)*D32+($N$4)*E31</f>
        <v>27.865834113385588</v>
      </c>
      <c r="F32" s="19">
        <f t="shared" si="31"/>
        <v>27.710471443138555</v>
      </c>
      <c r="G32" s="19">
        <f t="shared" si="1"/>
        <v>28.021196783632622</v>
      </c>
      <c r="H32" s="19">
        <f t="shared" si="2"/>
        <v>1.3982640322232989</v>
      </c>
      <c r="I32" s="19">
        <f t="shared" si="3"/>
        <v>30.119678363262199</v>
      </c>
      <c r="J32" s="19">
        <f t="shared" si="6"/>
        <v>-7.5702798687935696E-2</v>
      </c>
      <c r="K32" s="19">
        <f t="shared" si="4"/>
        <v>7.5702798687935696E-2</v>
      </c>
    </row>
    <row r="33" spans="2:14" x14ac:dyDescent="0.25">
      <c r="B33" s="15" t="s">
        <v>13</v>
      </c>
      <c r="C33" s="15">
        <v>2024</v>
      </c>
      <c r="D33" s="16">
        <v>34</v>
      </c>
      <c r="E33" s="19">
        <f t="shared" ref="E33:F33" si="32">($N$3)*D33+($N$4)*E32</f>
        <v>33.386583411338563</v>
      </c>
      <c r="F33" s="19">
        <f t="shared" si="32"/>
        <v>32.818972214518567</v>
      </c>
      <c r="G33" s="19">
        <f t="shared" si="1"/>
        <v>33.954194608158559</v>
      </c>
      <c r="H33" s="19">
        <f t="shared" si="2"/>
        <v>5.1085007713799655</v>
      </c>
      <c r="I33" s="19">
        <f t="shared" si="3"/>
        <v>29.419460815855921</v>
      </c>
      <c r="J33" s="19">
        <f t="shared" si="6"/>
        <v>0.13472174071012</v>
      </c>
      <c r="K33" s="19">
        <f t="shared" si="4"/>
        <v>0.13472174071012</v>
      </c>
    </row>
    <row r="34" spans="2:14" x14ac:dyDescent="0.25">
      <c r="B34" s="15" t="s">
        <v>2</v>
      </c>
      <c r="C34" s="15">
        <v>2024</v>
      </c>
      <c r="D34" s="16">
        <v>36</v>
      </c>
      <c r="E34" s="19">
        <f t="shared" ref="E34:F34" si="33">($N$3)*D34+($N$4)*E33</f>
        <v>35.738658341133856</v>
      </c>
      <c r="F34" s="19">
        <f t="shared" si="33"/>
        <v>35.446689728472329</v>
      </c>
      <c r="G34" s="19">
        <f t="shared" si="1"/>
        <v>36.030626953795384</v>
      </c>
      <c r="H34" s="19">
        <f t="shared" si="2"/>
        <v>2.6277175139537476</v>
      </c>
      <c r="I34" s="19">
        <f t="shared" si="3"/>
        <v>39.062695379538525</v>
      </c>
      <c r="J34" s="19">
        <f t="shared" si="6"/>
        <v>-8.5074871653847917E-2</v>
      </c>
      <c r="K34" s="19">
        <f t="shared" si="4"/>
        <v>8.5074871653847917E-2</v>
      </c>
    </row>
    <row r="35" spans="2:14" x14ac:dyDescent="0.25">
      <c r="B35" s="15" t="s">
        <v>4</v>
      </c>
      <c r="C35" s="15">
        <v>2024</v>
      </c>
      <c r="D35" s="16">
        <v>33</v>
      </c>
      <c r="E35" s="19">
        <f t="shared" ref="E35:F35" si="34">($N$3)*D35+($N$4)*E34</f>
        <v>33.273865834113387</v>
      </c>
      <c r="F35" s="19">
        <f t="shared" si="34"/>
        <v>33.491148223549281</v>
      </c>
      <c r="G35" s="19">
        <f t="shared" si="1"/>
        <v>33.056583444677493</v>
      </c>
      <c r="H35" s="19">
        <f t="shared" si="2"/>
        <v>-1.9555415049230476</v>
      </c>
      <c r="I35" s="19">
        <f t="shared" si="3"/>
        <v>38.658344467749131</v>
      </c>
      <c r="J35" s="19">
        <f t="shared" si="6"/>
        <v>-0.17146498387118581</v>
      </c>
      <c r="K35" s="19">
        <f t="shared" si="4"/>
        <v>0.17146498387118581</v>
      </c>
    </row>
    <row r="36" spans="2:14" x14ac:dyDescent="0.25">
      <c r="B36" s="15" t="s">
        <v>3</v>
      </c>
      <c r="C36" s="15">
        <v>2024</v>
      </c>
      <c r="D36" s="16">
        <v>30</v>
      </c>
      <c r="E36" s="19">
        <f t="shared" ref="E36:F36" si="35">($N$3)*D36+($N$4)*E35</f>
        <v>30.327386583411339</v>
      </c>
      <c r="F36" s="19">
        <f t="shared" si="35"/>
        <v>30.643762747425132</v>
      </c>
      <c r="G36" s="19">
        <f t="shared" si="1"/>
        <v>30.011010419397547</v>
      </c>
      <c r="H36" s="19">
        <f t="shared" si="2"/>
        <v>-2.8473854761241348</v>
      </c>
      <c r="I36" s="19">
        <f t="shared" si="3"/>
        <v>31.101041939754445</v>
      </c>
      <c r="J36" s="19">
        <f t="shared" si="6"/>
        <v>-3.6701397991814842E-2</v>
      </c>
      <c r="K36" s="19">
        <f t="shared" si="4"/>
        <v>3.6701397991814842E-2</v>
      </c>
    </row>
    <row r="37" spans="2:14" x14ac:dyDescent="0.25">
      <c r="B37" s="15" t="s">
        <v>5</v>
      </c>
      <c r="C37" s="15">
        <v>2024</v>
      </c>
      <c r="D37" s="16">
        <v>25</v>
      </c>
      <c r="E37" s="19">
        <f t="shared" ref="E37:F37" si="36">($N$3)*D37+($N$4)*E36</f>
        <v>25.532738658341135</v>
      </c>
      <c r="F37" s="19">
        <f t="shared" si="36"/>
        <v>26.043841067249534</v>
      </c>
      <c r="G37" s="19">
        <f t="shared" si="1"/>
        <v>25.021636249432735</v>
      </c>
      <c r="H37" s="19">
        <f t="shared" si="2"/>
        <v>-4.5999216801755978</v>
      </c>
      <c r="I37" s="19">
        <f t="shared" si="3"/>
        <v>27.163624943273412</v>
      </c>
      <c r="J37" s="19">
        <f t="shared" si="6"/>
        <v>-8.6544997730936477E-2</v>
      </c>
      <c r="K37" s="19">
        <f t="shared" si="4"/>
        <v>8.6544997730936477E-2</v>
      </c>
    </row>
    <row r="38" spans="2:14" x14ac:dyDescent="0.25">
      <c r="B38" s="15" t="s">
        <v>6</v>
      </c>
      <c r="C38" s="15">
        <v>2024</v>
      </c>
      <c r="D38" s="16">
        <v>20</v>
      </c>
      <c r="E38" s="19">
        <f t="shared" ref="E38:F38" si="37">($N$3)*D38+($N$4)*E37</f>
        <v>20.553273865834115</v>
      </c>
      <c r="F38" s="19">
        <f t="shared" si="37"/>
        <v>21.102330585975658</v>
      </c>
      <c r="G38" s="19">
        <f t="shared" si="1"/>
        <v>20.004217145692571</v>
      </c>
      <c r="H38" s="19">
        <f t="shared" si="2"/>
        <v>-4.9415104812738875</v>
      </c>
      <c r="I38" s="19">
        <f t="shared" si="3"/>
        <v>20.421714569257137</v>
      </c>
      <c r="J38" s="19">
        <f t="shared" si="6"/>
        <v>-2.1085728462856855E-2</v>
      </c>
      <c r="K38" s="19">
        <f t="shared" si="4"/>
        <v>2.1085728462856855E-2</v>
      </c>
    </row>
    <row r="39" spans="2:14" x14ac:dyDescent="0.25">
      <c r="B39" s="15" t="s">
        <v>7</v>
      </c>
      <c r="C39" s="15">
        <v>2024</v>
      </c>
      <c r="D39" s="16">
        <v>17</v>
      </c>
      <c r="E39" s="19">
        <f t="shared" ref="E39:F39" si="38">($N$3)*D39+($N$4)*E38</f>
        <v>17.355327386583411</v>
      </c>
      <c r="F39" s="19">
        <f t="shared" si="38"/>
        <v>17.730027706522637</v>
      </c>
      <c r="G39" s="19">
        <f t="shared" si="1"/>
        <v>16.980627066644185</v>
      </c>
      <c r="H39" s="19">
        <f t="shared" si="2"/>
        <v>-3.3723028794530343</v>
      </c>
      <c r="I39" s="19">
        <f t="shared" si="3"/>
        <v>15.062706664418684</v>
      </c>
      <c r="J39" s="19">
        <f t="shared" si="6"/>
        <v>0.1139584315047833</v>
      </c>
      <c r="K39" s="19">
        <f t="shared" si="4"/>
        <v>0.1139584315047833</v>
      </c>
    </row>
    <row r="40" spans="2:14" x14ac:dyDescent="0.25">
      <c r="B40" s="21" t="s">
        <v>8</v>
      </c>
      <c r="C40" s="21">
        <v>2024</v>
      </c>
      <c r="D40" s="22"/>
      <c r="E40" s="8"/>
      <c r="F40" s="8"/>
      <c r="G40" s="8"/>
      <c r="H40" s="8"/>
      <c r="I40" s="8">
        <f>G39+H39</f>
        <v>13.608324187191151</v>
      </c>
      <c r="J40" s="8" t="s">
        <v>21</v>
      </c>
      <c r="K40" s="20">
        <f>100/36*SUM(K5:K39)</f>
        <v>7.0849486396227821</v>
      </c>
    </row>
    <row r="43" spans="2:14" x14ac:dyDescent="0.25">
      <c r="B43" s="18" t="s">
        <v>0</v>
      </c>
      <c r="C43" s="18" t="s">
        <v>1</v>
      </c>
      <c r="D43" s="18" t="s">
        <v>22</v>
      </c>
      <c r="E43" s="18" t="s">
        <v>14</v>
      </c>
      <c r="F43" s="18" t="s">
        <v>15</v>
      </c>
      <c r="G43" s="18" t="s">
        <v>16</v>
      </c>
      <c r="H43" s="18" t="s">
        <v>17</v>
      </c>
      <c r="I43" s="18" t="s">
        <v>18</v>
      </c>
      <c r="J43" s="18" t="s">
        <v>19</v>
      </c>
      <c r="K43" s="18" t="s">
        <v>20</v>
      </c>
      <c r="N43" s="11">
        <v>0.8</v>
      </c>
    </row>
    <row r="44" spans="2:14" x14ac:dyDescent="0.25">
      <c r="B44" s="15" t="s">
        <v>8</v>
      </c>
      <c r="C44" s="15">
        <v>2021</v>
      </c>
      <c r="D44" s="16">
        <v>24</v>
      </c>
      <c r="E44" s="23">
        <v>24</v>
      </c>
      <c r="F44" s="23">
        <v>24</v>
      </c>
      <c r="G44" s="23">
        <v>24</v>
      </c>
      <c r="H44" s="19">
        <v>0</v>
      </c>
      <c r="I44" s="19"/>
      <c r="J44" s="19"/>
      <c r="K44" s="19"/>
      <c r="N44" s="11">
        <v>0.2</v>
      </c>
    </row>
    <row r="45" spans="2:14" x14ac:dyDescent="0.25">
      <c r="B45" s="15" t="s">
        <v>9</v>
      </c>
      <c r="C45" s="15">
        <v>2022</v>
      </c>
      <c r="D45" s="16">
        <v>26</v>
      </c>
      <c r="E45" s="19">
        <f>($N$43)*D45+($N$44)*E44</f>
        <v>25.6</v>
      </c>
      <c r="F45" s="19">
        <f>($N$43)*E45+($N$44)*F44</f>
        <v>25.280000000000005</v>
      </c>
      <c r="G45" s="19">
        <f>2*(E45)-(F45)</f>
        <v>25.919999999999998</v>
      </c>
      <c r="H45" s="19">
        <f>$N$43/$N$44*(E45-F45)</f>
        <v>1.2799999999999869</v>
      </c>
      <c r="I45" s="19">
        <f>G44+H44</f>
        <v>24</v>
      </c>
      <c r="J45" s="19">
        <f>(D45-I45)/D45</f>
        <v>7.6923076923076927E-2</v>
      </c>
      <c r="K45" s="19">
        <f>ABS(J45)</f>
        <v>7.6923076923076927E-2</v>
      </c>
    </row>
    <row r="46" spans="2:14" x14ac:dyDescent="0.25">
      <c r="B46" s="15" t="s">
        <v>10</v>
      </c>
      <c r="C46" s="15">
        <v>2022</v>
      </c>
      <c r="D46" s="16">
        <v>28</v>
      </c>
      <c r="E46" s="19">
        <f t="shared" ref="E46:F46" si="39">($N$43)*D46+($N$44)*E45</f>
        <v>27.520000000000003</v>
      </c>
      <c r="F46" s="19">
        <f t="shared" si="39"/>
        <v>27.072000000000006</v>
      </c>
      <c r="G46" s="19">
        <f t="shared" ref="G46:G79" si="40">2*(E46)-(F46)</f>
        <v>27.968</v>
      </c>
      <c r="H46" s="19">
        <f t="shared" ref="H46:H79" si="41">$N$43/$N$44*(E46-F46)</f>
        <v>1.7919999999999874</v>
      </c>
      <c r="I46" s="19">
        <f t="shared" ref="I46:I79" si="42">G45+H45</f>
        <v>27.199999999999985</v>
      </c>
      <c r="J46" s="19">
        <f>(D46-I46)/D46</f>
        <v>2.8571428571429105E-2</v>
      </c>
      <c r="K46" s="19">
        <f t="shared" ref="K46" si="43">ABS(J46)</f>
        <v>2.8571428571429105E-2</v>
      </c>
    </row>
    <row r="47" spans="2:14" x14ac:dyDescent="0.25">
      <c r="B47" s="15" t="s">
        <v>11</v>
      </c>
      <c r="C47" s="15">
        <v>2022</v>
      </c>
      <c r="D47" s="16">
        <v>29</v>
      </c>
      <c r="E47" s="19">
        <f t="shared" ref="E47:F47" si="44">($N$43)*D47+($N$44)*E46</f>
        <v>28.704000000000004</v>
      </c>
      <c r="F47" s="19">
        <f t="shared" si="44"/>
        <v>28.377600000000005</v>
      </c>
      <c r="G47" s="19">
        <f t="shared" si="40"/>
        <v>29.030400000000004</v>
      </c>
      <c r="H47" s="19">
        <f t="shared" si="41"/>
        <v>1.3055999999999983</v>
      </c>
      <c r="I47" s="19">
        <f t="shared" si="42"/>
        <v>29.759999999999987</v>
      </c>
      <c r="J47" s="19">
        <f t="shared" ref="J47:J79" si="45">(D47-I47)/D47</f>
        <v>-2.6206896551723702E-2</v>
      </c>
      <c r="K47" s="19">
        <f>ABS(J47)</f>
        <v>2.6206896551723702E-2</v>
      </c>
    </row>
    <row r="48" spans="2:14" x14ac:dyDescent="0.25">
      <c r="B48" s="15" t="s">
        <v>12</v>
      </c>
      <c r="C48" s="15">
        <v>2022</v>
      </c>
      <c r="D48" s="16">
        <v>30</v>
      </c>
      <c r="E48" s="19">
        <f t="shared" ref="E48:F48" si="46">($N$43)*D48+($N$44)*E47</f>
        <v>29.7408</v>
      </c>
      <c r="F48" s="19">
        <f t="shared" si="46"/>
        <v>29.468160000000005</v>
      </c>
      <c r="G48" s="19">
        <f t="shared" si="40"/>
        <v>30.013439999999996</v>
      </c>
      <c r="H48" s="19">
        <f t="shared" si="41"/>
        <v>1.0905599999999822</v>
      </c>
      <c r="I48" s="19">
        <f t="shared" si="42"/>
        <v>30.336000000000002</v>
      </c>
      <c r="J48" s="19">
        <f t="shared" si="45"/>
        <v>-1.1200000000000069E-2</v>
      </c>
      <c r="K48" s="19">
        <f t="shared" ref="K48:K79" si="47">ABS(J48)</f>
        <v>1.1200000000000069E-2</v>
      </c>
    </row>
    <row r="49" spans="2:11" x14ac:dyDescent="0.25">
      <c r="B49" s="15" t="s">
        <v>13</v>
      </c>
      <c r="C49" s="15">
        <v>2022</v>
      </c>
      <c r="D49" s="16">
        <v>30</v>
      </c>
      <c r="E49" s="19">
        <f t="shared" ref="E49:F49" si="48">($N$43)*D49+($N$44)*E48</f>
        <v>29.948160000000001</v>
      </c>
      <c r="F49" s="19">
        <f t="shared" si="48"/>
        <v>29.852160000000001</v>
      </c>
      <c r="G49" s="19">
        <f t="shared" si="40"/>
        <v>30.044160000000002</v>
      </c>
      <c r="H49" s="19">
        <f t="shared" si="41"/>
        <v>0.38400000000000034</v>
      </c>
      <c r="I49" s="19">
        <f t="shared" si="42"/>
        <v>31.103999999999978</v>
      </c>
      <c r="J49" s="19">
        <f t="shared" si="45"/>
        <v>-3.6799999999999264E-2</v>
      </c>
      <c r="K49" s="19">
        <f t="shared" si="47"/>
        <v>3.6799999999999264E-2</v>
      </c>
    </row>
    <row r="50" spans="2:11" x14ac:dyDescent="0.25">
      <c r="B50" s="15" t="s">
        <v>2</v>
      </c>
      <c r="C50" s="15">
        <v>2022</v>
      </c>
      <c r="D50" s="16">
        <v>32</v>
      </c>
      <c r="E50" s="19">
        <f t="shared" ref="E50:F50" si="49">($N$43)*D50+($N$44)*E49</f>
        <v>31.589632000000002</v>
      </c>
      <c r="F50" s="19">
        <f t="shared" si="49"/>
        <v>31.242137600000007</v>
      </c>
      <c r="G50" s="19">
        <f t="shared" si="40"/>
        <v>31.937126399999997</v>
      </c>
      <c r="H50" s="19">
        <f t="shared" si="41"/>
        <v>1.3899775999999804</v>
      </c>
      <c r="I50" s="19">
        <f t="shared" si="42"/>
        <v>30.428160000000002</v>
      </c>
      <c r="J50" s="19">
        <f t="shared" si="45"/>
        <v>4.9119999999999941E-2</v>
      </c>
      <c r="K50" s="19">
        <f t="shared" si="47"/>
        <v>4.9119999999999941E-2</v>
      </c>
    </row>
    <row r="51" spans="2:11" x14ac:dyDescent="0.25">
      <c r="B51" s="15" t="s">
        <v>4</v>
      </c>
      <c r="C51" s="15">
        <v>2022</v>
      </c>
      <c r="D51" s="16">
        <v>29</v>
      </c>
      <c r="E51" s="19">
        <f t="shared" ref="E51:F51" si="50">($N$43)*D51+($N$44)*E50</f>
        <v>29.517926400000004</v>
      </c>
      <c r="F51" s="19">
        <f t="shared" si="50"/>
        <v>29.862768640000006</v>
      </c>
      <c r="G51" s="19">
        <f t="shared" si="40"/>
        <v>29.173084160000002</v>
      </c>
      <c r="H51" s="19">
        <f t="shared" si="41"/>
        <v>-1.3793689600000079</v>
      </c>
      <c r="I51" s="19">
        <f t="shared" si="42"/>
        <v>33.327103999999977</v>
      </c>
      <c r="J51" s="19">
        <f t="shared" si="45"/>
        <v>-0.14921048275861989</v>
      </c>
      <c r="K51" s="19">
        <f t="shared" si="47"/>
        <v>0.14921048275861989</v>
      </c>
    </row>
    <row r="52" spans="2:11" x14ac:dyDescent="0.25">
      <c r="B52" s="15" t="s">
        <v>3</v>
      </c>
      <c r="C52" s="15">
        <v>2022</v>
      </c>
      <c r="D52" s="16">
        <v>27</v>
      </c>
      <c r="E52" s="19">
        <f t="shared" ref="E52:F52" si="51">($N$43)*D52+($N$44)*E51</f>
        <v>27.503585280000003</v>
      </c>
      <c r="F52" s="19">
        <f t="shared" si="51"/>
        <v>27.975421952000005</v>
      </c>
      <c r="G52" s="19">
        <f t="shared" si="40"/>
        <v>27.031748608000001</v>
      </c>
      <c r="H52" s="19">
        <f t="shared" si="41"/>
        <v>-1.887346688000008</v>
      </c>
      <c r="I52" s="19">
        <f t="shared" si="42"/>
        <v>27.793715199999994</v>
      </c>
      <c r="J52" s="19">
        <f t="shared" si="45"/>
        <v>-2.9396859259259039E-2</v>
      </c>
      <c r="K52" s="19">
        <f t="shared" si="47"/>
        <v>2.9396859259259039E-2</v>
      </c>
    </row>
    <row r="53" spans="2:11" x14ac:dyDescent="0.25">
      <c r="B53" s="15" t="s">
        <v>5</v>
      </c>
      <c r="C53" s="15">
        <v>2022</v>
      </c>
      <c r="D53" s="16">
        <v>25</v>
      </c>
      <c r="E53" s="19">
        <f t="shared" ref="E53:F53" si="52">($N$43)*D53+($N$44)*E52</f>
        <v>25.500717055999999</v>
      </c>
      <c r="F53" s="19">
        <f t="shared" si="52"/>
        <v>25.995658035200002</v>
      </c>
      <c r="G53" s="19">
        <f t="shared" si="40"/>
        <v>25.005776076799997</v>
      </c>
      <c r="H53" s="19">
        <f t="shared" si="41"/>
        <v>-1.9797639168000103</v>
      </c>
      <c r="I53" s="19">
        <f t="shared" si="42"/>
        <v>25.144401919999993</v>
      </c>
      <c r="J53" s="19">
        <f t="shared" si="45"/>
        <v>-5.7760767999997138E-3</v>
      </c>
      <c r="K53" s="19">
        <f t="shared" si="47"/>
        <v>5.7760767999997138E-3</v>
      </c>
    </row>
    <row r="54" spans="2:11" x14ac:dyDescent="0.25">
      <c r="B54" s="15" t="s">
        <v>6</v>
      </c>
      <c r="C54" s="15">
        <v>2022</v>
      </c>
      <c r="D54" s="16">
        <v>25</v>
      </c>
      <c r="E54" s="19">
        <f t="shared" ref="E54:F54" si="53">($N$43)*D54+($N$44)*E53</f>
        <v>25.100143411200001</v>
      </c>
      <c r="F54" s="19">
        <f t="shared" si="53"/>
        <v>25.279246336000003</v>
      </c>
      <c r="G54" s="19">
        <f t="shared" si="40"/>
        <v>24.921040486399999</v>
      </c>
      <c r="H54" s="19">
        <f t="shared" si="41"/>
        <v>-0.71641169920000891</v>
      </c>
      <c r="I54" s="19">
        <f t="shared" si="42"/>
        <v>23.026012159999986</v>
      </c>
      <c r="J54" s="19">
        <f t="shared" si="45"/>
        <v>7.8959513600000544E-2</v>
      </c>
      <c r="K54" s="19">
        <f t="shared" si="47"/>
        <v>7.8959513600000544E-2</v>
      </c>
    </row>
    <row r="55" spans="2:11" x14ac:dyDescent="0.25">
      <c r="B55" s="15" t="s">
        <v>7</v>
      </c>
      <c r="C55" s="15">
        <v>2022</v>
      </c>
      <c r="D55" s="16">
        <v>23</v>
      </c>
      <c r="E55" s="19">
        <f t="shared" ref="E55:F55" si="54">($N$43)*D55+($N$44)*E54</f>
        <v>23.420028682240002</v>
      </c>
      <c r="F55" s="19">
        <f t="shared" si="54"/>
        <v>23.791872212992004</v>
      </c>
      <c r="G55" s="19">
        <f t="shared" si="40"/>
        <v>23.048185151487999</v>
      </c>
      <c r="H55" s="19">
        <f t="shared" si="41"/>
        <v>-1.48737412300801</v>
      </c>
      <c r="I55" s="19">
        <f t="shared" si="42"/>
        <v>24.20462878719999</v>
      </c>
      <c r="J55" s="19">
        <f t="shared" si="45"/>
        <v>-5.2375164660869132E-2</v>
      </c>
      <c r="K55" s="19">
        <f t="shared" si="47"/>
        <v>5.2375164660869132E-2</v>
      </c>
    </row>
    <row r="56" spans="2:11" x14ac:dyDescent="0.25">
      <c r="B56" s="15" t="s">
        <v>8</v>
      </c>
      <c r="C56" s="15">
        <v>2022</v>
      </c>
      <c r="D56" s="16">
        <v>21</v>
      </c>
      <c r="E56" s="19">
        <f t="shared" ref="E56:F56" si="55">($N$43)*D56+($N$44)*E55</f>
        <v>21.484005736448001</v>
      </c>
      <c r="F56" s="19">
        <f t="shared" si="55"/>
        <v>21.945579031756804</v>
      </c>
      <c r="G56" s="19">
        <f t="shared" si="40"/>
        <v>21.022432441139198</v>
      </c>
      <c r="H56" s="19">
        <f t="shared" si="41"/>
        <v>-1.846293181235211</v>
      </c>
      <c r="I56" s="19">
        <f t="shared" si="42"/>
        <v>21.560811028479989</v>
      </c>
      <c r="J56" s="19">
        <f t="shared" si="45"/>
        <v>-2.6705287070475675E-2</v>
      </c>
      <c r="K56" s="19">
        <f t="shared" si="47"/>
        <v>2.6705287070475675E-2</v>
      </c>
    </row>
    <row r="57" spans="2:11" x14ac:dyDescent="0.25">
      <c r="B57" s="15" t="s">
        <v>9</v>
      </c>
      <c r="C57" s="15">
        <v>2023</v>
      </c>
      <c r="D57" s="16">
        <v>22</v>
      </c>
      <c r="E57" s="19">
        <f t="shared" ref="E57:F57" si="56">($N$43)*D57+($N$44)*E56</f>
        <v>21.896801147289601</v>
      </c>
      <c r="F57" s="19">
        <f t="shared" si="56"/>
        <v>21.906556724183041</v>
      </c>
      <c r="G57" s="19">
        <f t="shared" si="40"/>
        <v>21.887045570396161</v>
      </c>
      <c r="H57" s="19">
        <f t="shared" si="41"/>
        <v>-3.9022307573759463E-2</v>
      </c>
      <c r="I57" s="19">
        <f t="shared" si="42"/>
        <v>19.176139259903987</v>
      </c>
      <c r="J57" s="19">
        <f t="shared" si="45"/>
        <v>0.12835730636800058</v>
      </c>
      <c r="K57" s="19">
        <f t="shared" si="47"/>
        <v>0.12835730636800058</v>
      </c>
    </row>
    <row r="58" spans="2:11" x14ac:dyDescent="0.25">
      <c r="B58" s="15" t="s">
        <v>10</v>
      </c>
      <c r="C58" s="15">
        <v>2023</v>
      </c>
      <c r="D58" s="16">
        <v>24</v>
      </c>
      <c r="E58" s="19">
        <f t="shared" ref="E58:F58" si="57">($N$43)*D58+($N$44)*E57</f>
        <v>23.579360229457922</v>
      </c>
      <c r="F58" s="19">
        <f t="shared" si="57"/>
        <v>23.244799528402947</v>
      </c>
      <c r="G58" s="19">
        <f t="shared" si="40"/>
        <v>23.913920930512898</v>
      </c>
      <c r="H58" s="19">
        <f t="shared" si="41"/>
        <v>1.3382428042199024</v>
      </c>
      <c r="I58" s="19">
        <f t="shared" si="42"/>
        <v>21.848023262822402</v>
      </c>
      <c r="J58" s="19">
        <f t="shared" si="45"/>
        <v>8.9665697382399934E-2</v>
      </c>
      <c r="K58" s="19">
        <f t="shared" si="47"/>
        <v>8.9665697382399934E-2</v>
      </c>
    </row>
    <row r="59" spans="2:11" x14ac:dyDescent="0.25">
      <c r="B59" s="15" t="s">
        <v>11</v>
      </c>
      <c r="C59" s="15">
        <v>2023</v>
      </c>
      <c r="D59" s="16">
        <v>25</v>
      </c>
      <c r="E59" s="19">
        <f t="shared" ref="E59:F59" si="58">($N$43)*D59+($N$44)*E58</f>
        <v>24.715872045891587</v>
      </c>
      <c r="F59" s="19">
        <f t="shared" si="58"/>
        <v>24.421657542393859</v>
      </c>
      <c r="G59" s="19">
        <f t="shared" si="40"/>
        <v>25.010086549389314</v>
      </c>
      <c r="H59" s="19">
        <f t="shared" si="41"/>
        <v>1.1768580139909091</v>
      </c>
      <c r="I59" s="19">
        <f t="shared" si="42"/>
        <v>25.2521637347328</v>
      </c>
      <c r="J59" s="19">
        <f t="shared" si="45"/>
        <v>-1.0086549389312012E-2</v>
      </c>
      <c r="K59" s="19">
        <f t="shared" si="47"/>
        <v>1.0086549389312012E-2</v>
      </c>
    </row>
    <row r="60" spans="2:11" x14ac:dyDescent="0.25">
      <c r="B60" s="15" t="s">
        <v>12</v>
      </c>
      <c r="C60" s="15">
        <v>2023</v>
      </c>
      <c r="D60" s="16">
        <v>29</v>
      </c>
      <c r="E60" s="19">
        <f t="shared" ref="E60:F60" si="59">($N$43)*D60+($N$44)*E59</f>
        <v>28.143174409178322</v>
      </c>
      <c r="F60" s="19">
        <f t="shared" si="59"/>
        <v>27.398871035821433</v>
      </c>
      <c r="G60" s="19">
        <f t="shared" si="40"/>
        <v>28.88747778253521</v>
      </c>
      <c r="H60" s="19">
        <f t="shared" si="41"/>
        <v>2.9772134934275556</v>
      </c>
      <c r="I60" s="19">
        <f t="shared" si="42"/>
        <v>26.186944563380223</v>
      </c>
      <c r="J60" s="19">
        <f t="shared" si="45"/>
        <v>9.7001911607578525E-2</v>
      </c>
      <c r="K60" s="19">
        <f t="shared" si="47"/>
        <v>9.7001911607578525E-2</v>
      </c>
    </row>
    <row r="61" spans="2:11" x14ac:dyDescent="0.25">
      <c r="B61" s="15" t="s">
        <v>13</v>
      </c>
      <c r="C61" s="15">
        <v>2023</v>
      </c>
      <c r="D61" s="16">
        <v>33</v>
      </c>
      <c r="E61" s="19">
        <f t="shared" ref="E61:F61" si="60">($N$43)*D61+($N$44)*E60</f>
        <v>32.028634881835664</v>
      </c>
      <c r="F61" s="19">
        <f t="shared" si="60"/>
        <v>31.10268211263282</v>
      </c>
      <c r="G61" s="19">
        <f t="shared" si="40"/>
        <v>32.954587651038509</v>
      </c>
      <c r="H61" s="19">
        <f t="shared" si="41"/>
        <v>3.7038110768113768</v>
      </c>
      <c r="I61" s="19">
        <f t="shared" si="42"/>
        <v>31.864691275962766</v>
      </c>
      <c r="J61" s="19">
        <f t="shared" si="45"/>
        <v>3.4403294667794966E-2</v>
      </c>
      <c r="K61" s="19">
        <f t="shared" si="47"/>
        <v>3.4403294667794966E-2</v>
      </c>
    </row>
    <row r="62" spans="2:11" x14ac:dyDescent="0.25">
      <c r="B62" s="15" t="s">
        <v>2</v>
      </c>
      <c r="C62" s="15">
        <v>2023</v>
      </c>
      <c r="D62" s="16">
        <v>34</v>
      </c>
      <c r="E62" s="19">
        <f t="shared" ref="E62:F62" si="61">($N$43)*D62+($N$44)*E61</f>
        <v>33.605726976367137</v>
      </c>
      <c r="F62" s="19">
        <f t="shared" si="61"/>
        <v>33.105118003620277</v>
      </c>
      <c r="G62" s="19">
        <f t="shared" si="40"/>
        <v>34.106335949113998</v>
      </c>
      <c r="H62" s="19">
        <f t="shared" si="41"/>
        <v>2.0024358909874422</v>
      </c>
      <c r="I62" s="19">
        <f t="shared" si="42"/>
        <v>36.658398727849885</v>
      </c>
      <c r="J62" s="19">
        <f t="shared" si="45"/>
        <v>-7.8188197877937807E-2</v>
      </c>
      <c r="K62" s="19">
        <f t="shared" si="47"/>
        <v>7.8188197877937807E-2</v>
      </c>
    </row>
    <row r="63" spans="2:11" x14ac:dyDescent="0.25">
      <c r="B63" s="15" t="s">
        <v>4</v>
      </c>
      <c r="C63" s="15">
        <v>2023</v>
      </c>
      <c r="D63" s="16">
        <v>30</v>
      </c>
      <c r="E63" s="19">
        <f t="shared" ref="E63:F63" si="62">($N$43)*D63+($N$44)*E62</f>
        <v>30.721145395273428</v>
      </c>
      <c r="F63" s="19">
        <f t="shared" si="62"/>
        <v>31.197939916942797</v>
      </c>
      <c r="G63" s="19">
        <f t="shared" si="40"/>
        <v>30.244350873604059</v>
      </c>
      <c r="H63" s="19">
        <f t="shared" si="41"/>
        <v>-1.9071780866774759</v>
      </c>
      <c r="I63" s="19">
        <f t="shared" si="42"/>
        <v>36.10877184010144</v>
      </c>
      <c r="J63" s="19">
        <f t="shared" si="45"/>
        <v>-0.20362572800338133</v>
      </c>
      <c r="K63" s="19">
        <f t="shared" si="47"/>
        <v>0.20362572800338133</v>
      </c>
    </row>
    <row r="64" spans="2:11" x14ac:dyDescent="0.25">
      <c r="B64" s="15" t="s">
        <v>3</v>
      </c>
      <c r="C64" s="15">
        <v>2023</v>
      </c>
      <c r="D64" s="16">
        <v>27</v>
      </c>
      <c r="E64" s="19">
        <f t="shared" ref="E64:F64" si="63">($N$43)*D64+($N$44)*E63</f>
        <v>27.744229079054687</v>
      </c>
      <c r="F64" s="19">
        <f t="shared" si="63"/>
        <v>28.434971246632312</v>
      </c>
      <c r="G64" s="19">
        <f t="shared" si="40"/>
        <v>27.053486911477062</v>
      </c>
      <c r="H64" s="19">
        <f t="shared" si="41"/>
        <v>-2.7629686703104994</v>
      </c>
      <c r="I64" s="19">
        <f t="shared" si="42"/>
        <v>28.337172786926583</v>
      </c>
      <c r="J64" s="19">
        <f t="shared" si="45"/>
        <v>-4.9524918034317897E-2</v>
      </c>
      <c r="K64" s="19">
        <f t="shared" si="47"/>
        <v>4.9524918034317897E-2</v>
      </c>
    </row>
    <row r="65" spans="2:11" x14ac:dyDescent="0.25">
      <c r="B65" s="15" t="s">
        <v>5</v>
      </c>
      <c r="C65" s="15">
        <v>2023</v>
      </c>
      <c r="D65" s="16">
        <v>26</v>
      </c>
      <c r="E65" s="19">
        <f t="shared" ref="E65:F65" si="64">($N$43)*D65+($N$44)*E64</f>
        <v>26.34884581581094</v>
      </c>
      <c r="F65" s="19">
        <f t="shared" si="64"/>
        <v>26.766070901975215</v>
      </c>
      <c r="G65" s="19">
        <f t="shared" si="40"/>
        <v>25.931620729646664</v>
      </c>
      <c r="H65" s="19">
        <f t="shared" si="41"/>
        <v>-1.6689003446571036</v>
      </c>
      <c r="I65" s="19">
        <f t="shared" si="42"/>
        <v>24.290518241166563</v>
      </c>
      <c r="J65" s="19">
        <f t="shared" si="45"/>
        <v>6.5749298416670668E-2</v>
      </c>
      <c r="K65" s="19">
        <f t="shared" si="47"/>
        <v>6.5749298416670668E-2</v>
      </c>
    </row>
    <row r="66" spans="2:11" x14ac:dyDescent="0.25">
      <c r="B66" s="15" t="s">
        <v>6</v>
      </c>
      <c r="C66" s="15">
        <v>2023</v>
      </c>
      <c r="D66" s="16">
        <v>25</v>
      </c>
      <c r="E66" s="19">
        <f t="shared" ref="E66:F66" si="65">($N$43)*D66+($N$44)*E65</f>
        <v>25.269769163162188</v>
      </c>
      <c r="F66" s="19">
        <f t="shared" si="65"/>
        <v>25.569029510924793</v>
      </c>
      <c r="G66" s="19">
        <f t="shared" si="40"/>
        <v>24.970508815399583</v>
      </c>
      <c r="H66" s="19">
        <f t="shared" si="41"/>
        <v>-1.1970413910504192</v>
      </c>
      <c r="I66" s="19">
        <f t="shared" si="42"/>
        <v>24.26272038498956</v>
      </c>
      <c r="J66" s="19">
        <f t="shared" si="45"/>
        <v>2.9491184600417598E-2</v>
      </c>
      <c r="K66" s="19">
        <f t="shared" si="47"/>
        <v>2.9491184600417598E-2</v>
      </c>
    </row>
    <row r="67" spans="2:11" x14ac:dyDescent="0.25">
      <c r="B67" s="15" t="s">
        <v>7</v>
      </c>
      <c r="C67" s="15">
        <v>2023</v>
      </c>
      <c r="D67" s="16">
        <v>21</v>
      </c>
      <c r="E67" s="19">
        <f t="shared" ref="E67:F67" si="66">($N$43)*D67+($N$44)*E66</f>
        <v>21.853953832632438</v>
      </c>
      <c r="F67" s="19">
        <f t="shared" si="66"/>
        <v>22.596968968290909</v>
      </c>
      <c r="G67" s="19">
        <f t="shared" si="40"/>
        <v>21.110938696973967</v>
      </c>
      <c r="H67" s="19">
        <f t="shared" si="41"/>
        <v>-2.9720605426338835</v>
      </c>
      <c r="I67" s="19">
        <f t="shared" si="42"/>
        <v>23.773467424349164</v>
      </c>
      <c r="J67" s="19">
        <f t="shared" si="45"/>
        <v>-0.13206987734996017</v>
      </c>
      <c r="K67" s="19">
        <f t="shared" si="47"/>
        <v>0.13206987734996017</v>
      </c>
    </row>
    <row r="68" spans="2:11" x14ac:dyDescent="0.25">
      <c r="B68" s="15" t="s">
        <v>8</v>
      </c>
      <c r="C68" s="15">
        <v>2023</v>
      </c>
      <c r="D68" s="16">
        <v>18</v>
      </c>
      <c r="E68" s="19">
        <f t="shared" ref="E68:F68" si="67">($N$43)*D68+($N$44)*E67</f>
        <v>18.770790766526488</v>
      </c>
      <c r="F68" s="19">
        <f t="shared" si="67"/>
        <v>19.536026406879373</v>
      </c>
      <c r="G68" s="19">
        <f t="shared" si="40"/>
        <v>18.005555126173604</v>
      </c>
      <c r="H68" s="19">
        <f t="shared" si="41"/>
        <v>-3.0609425614115366</v>
      </c>
      <c r="I68" s="19">
        <f t="shared" si="42"/>
        <v>18.138878154340084</v>
      </c>
      <c r="J68" s="19">
        <f t="shared" si="45"/>
        <v>-7.7154530188935488E-3</v>
      </c>
      <c r="K68" s="19">
        <f t="shared" si="47"/>
        <v>7.7154530188935488E-3</v>
      </c>
    </row>
    <row r="69" spans="2:11" x14ac:dyDescent="0.25">
      <c r="B69" s="15" t="s">
        <v>9</v>
      </c>
      <c r="C69" s="15">
        <v>2024</v>
      </c>
      <c r="D69" s="16">
        <v>20</v>
      </c>
      <c r="E69" s="19">
        <f t="shared" ref="E69:F69" si="68">($N$43)*D69+($N$44)*E68</f>
        <v>19.754158153305298</v>
      </c>
      <c r="F69" s="19">
        <f t="shared" si="68"/>
        <v>19.710531804020114</v>
      </c>
      <c r="G69" s="19">
        <f t="shared" si="40"/>
        <v>19.797784502590481</v>
      </c>
      <c r="H69" s="19">
        <f t="shared" si="41"/>
        <v>0.17450539714073443</v>
      </c>
      <c r="I69" s="19">
        <f t="shared" si="42"/>
        <v>14.944612564762068</v>
      </c>
      <c r="J69" s="19">
        <f t="shared" si="45"/>
        <v>0.25276937176189662</v>
      </c>
      <c r="K69" s="19">
        <f t="shared" si="47"/>
        <v>0.25276937176189662</v>
      </c>
    </row>
    <row r="70" spans="2:11" x14ac:dyDescent="0.25">
      <c r="B70" s="15" t="s">
        <v>10</v>
      </c>
      <c r="C70" s="15">
        <v>2024</v>
      </c>
      <c r="D70" s="16">
        <v>24</v>
      </c>
      <c r="E70" s="19">
        <f t="shared" ref="E70:F70" si="69">($N$43)*D70+($N$44)*E69</f>
        <v>23.150831630661063</v>
      </c>
      <c r="F70" s="19">
        <f t="shared" si="69"/>
        <v>22.462771665332873</v>
      </c>
      <c r="G70" s="19">
        <f t="shared" si="40"/>
        <v>23.838891595989253</v>
      </c>
      <c r="H70" s="19">
        <f t="shared" si="41"/>
        <v>2.7522398613127592</v>
      </c>
      <c r="I70" s="19">
        <f t="shared" si="42"/>
        <v>19.972289899731216</v>
      </c>
      <c r="J70" s="19">
        <f t="shared" si="45"/>
        <v>0.167821254177866</v>
      </c>
      <c r="K70" s="19">
        <f t="shared" si="47"/>
        <v>0.167821254177866</v>
      </c>
    </row>
    <row r="71" spans="2:11" x14ac:dyDescent="0.25">
      <c r="B71" s="15" t="s">
        <v>11</v>
      </c>
      <c r="C71" s="15">
        <v>2024</v>
      </c>
      <c r="D71" s="16">
        <v>27</v>
      </c>
      <c r="E71" s="19">
        <f t="shared" ref="E71:F71" si="70">($N$43)*D71+($N$44)*E70</f>
        <v>26.230166326132213</v>
      </c>
      <c r="F71" s="19">
        <f t="shared" si="70"/>
        <v>25.476687393972348</v>
      </c>
      <c r="G71" s="19">
        <f t="shared" si="40"/>
        <v>26.983645258292078</v>
      </c>
      <c r="H71" s="19">
        <f t="shared" si="41"/>
        <v>3.0139157286394607</v>
      </c>
      <c r="I71" s="19">
        <f t="shared" si="42"/>
        <v>26.591131457302012</v>
      </c>
      <c r="J71" s="19">
        <f t="shared" si="45"/>
        <v>1.5143279359184737E-2</v>
      </c>
      <c r="K71" s="19">
        <f t="shared" si="47"/>
        <v>1.5143279359184737E-2</v>
      </c>
    </row>
    <row r="72" spans="2:11" x14ac:dyDescent="0.25">
      <c r="B72" s="15" t="s">
        <v>12</v>
      </c>
      <c r="C72" s="15">
        <v>2024</v>
      </c>
      <c r="D72" s="16">
        <v>28</v>
      </c>
      <c r="E72" s="19">
        <f t="shared" ref="E72:F72" si="71">($N$43)*D72+($N$44)*E71</f>
        <v>27.646033265226446</v>
      </c>
      <c r="F72" s="19">
        <f t="shared" si="71"/>
        <v>27.212164090975627</v>
      </c>
      <c r="G72" s="19">
        <f t="shared" si="40"/>
        <v>28.079902439477266</v>
      </c>
      <c r="H72" s="19">
        <f t="shared" si="41"/>
        <v>1.7354766970032784</v>
      </c>
      <c r="I72" s="19">
        <f t="shared" si="42"/>
        <v>29.997560986931539</v>
      </c>
      <c r="J72" s="19">
        <f t="shared" si="45"/>
        <v>-7.1341463818983542E-2</v>
      </c>
      <c r="K72" s="19">
        <f t="shared" si="47"/>
        <v>7.1341463818983542E-2</v>
      </c>
    </row>
    <row r="73" spans="2:11" x14ac:dyDescent="0.25">
      <c r="B73" s="15" t="s">
        <v>13</v>
      </c>
      <c r="C73" s="15">
        <v>2024</v>
      </c>
      <c r="D73" s="16">
        <v>34</v>
      </c>
      <c r="E73" s="19">
        <f t="shared" ref="E73:F73" si="72">($N$43)*D73+($N$44)*E72</f>
        <v>32.729206653045296</v>
      </c>
      <c r="F73" s="19">
        <f t="shared" si="72"/>
        <v>31.625798140631364</v>
      </c>
      <c r="G73" s="19">
        <f t="shared" si="40"/>
        <v>33.832615165459231</v>
      </c>
      <c r="H73" s="19">
        <f t="shared" si="41"/>
        <v>4.4136340496557267</v>
      </c>
      <c r="I73" s="19">
        <f t="shared" si="42"/>
        <v>29.815379136480544</v>
      </c>
      <c r="J73" s="19">
        <f t="shared" si="45"/>
        <v>0.12307708422116047</v>
      </c>
      <c r="K73" s="19">
        <f t="shared" si="47"/>
        <v>0.12307708422116047</v>
      </c>
    </row>
    <row r="74" spans="2:11" x14ac:dyDescent="0.25">
      <c r="B74" s="15" t="s">
        <v>2</v>
      </c>
      <c r="C74" s="15">
        <v>2024</v>
      </c>
      <c r="D74" s="16">
        <v>36</v>
      </c>
      <c r="E74" s="19">
        <f t="shared" ref="E74:F74" si="73">($N$43)*D74+($N$44)*E73</f>
        <v>35.345841330609062</v>
      </c>
      <c r="F74" s="19">
        <f t="shared" si="73"/>
        <v>34.601832692613527</v>
      </c>
      <c r="G74" s="19">
        <f t="shared" si="40"/>
        <v>36.089849968604597</v>
      </c>
      <c r="H74" s="19">
        <f t="shared" si="41"/>
        <v>2.9760345519821385</v>
      </c>
      <c r="I74" s="19">
        <f t="shared" si="42"/>
        <v>38.246249215114958</v>
      </c>
      <c r="J74" s="19">
        <f t="shared" si="45"/>
        <v>-6.239581153097104E-2</v>
      </c>
      <c r="K74" s="19">
        <f t="shared" si="47"/>
        <v>6.239581153097104E-2</v>
      </c>
    </row>
    <row r="75" spans="2:11" x14ac:dyDescent="0.25">
      <c r="B75" s="15" t="s">
        <v>4</v>
      </c>
      <c r="C75" s="15">
        <v>2024</v>
      </c>
      <c r="D75" s="16">
        <v>33</v>
      </c>
      <c r="E75" s="19">
        <f t="shared" ref="E75:F75" si="74">($N$43)*D75+($N$44)*E74</f>
        <v>33.469168266121812</v>
      </c>
      <c r="F75" s="19">
        <f t="shared" si="74"/>
        <v>33.69570115142016</v>
      </c>
      <c r="G75" s="19">
        <f t="shared" si="40"/>
        <v>33.242635380823465</v>
      </c>
      <c r="H75" s="19">
        <f t="shared" si="41"/>
        <v>-0.90613154119338901</v>
      </c>
      <c r="I75" s="19">
        <f t="shared" si="42"/>
        <v>39.065884520586735</v>
      </c>
      <c r="J75" s="19">
        <f t="shared" si="45"/>
        <v>-0.18381468244202229</v>
      </c>
      <c r="K75" s="19">
        <f t="shared" si="47"/>
        <v>0.18381468244202229</v>
      </c>
    </row>
    <row r="76" spans="2:11" x14ac:dyDescent="0.25">
      <c r="B76" s="15" t="s">
        <v>3</v>
      </c>
      <c r="C76" s="15">
        <v>2024</v>
      </c>
      <c r="D76" s="16">
        <v>30</v>
      </c>
      <c r="E76" s="19">
        <f t="shared" ref="E76:F76" si="75">($N$43)*D76+($N$44)*E75</f>
        <v>30.693833653224363</v>
      </c>
      <c r="F76" s="19">
        <f t="shared" si="75"/>
        <v>31.294207152863525</v>
      </c>
      <c r="G76" s="19">
        <f t="shared" si="40"/>
        <v>30.093460153585202</v>
      </c>
      <c r="H76" s="19">
        <f t="shared" si="41"/>
        <v>-2.4014939985566457</v>
      </c>
      <c r="I76" s="19">
        <f t="shared" si="42"/>
        <v>32.336503839630076</v>
      </c>
      <c r="J76" s="19">
        <f t="shared" si="45"/>
        <v>-7.7883461321002531E-2</v>
      </c>
      <c r="K76" s="19">
        <f t="shared" si="47"/>
        <v>7.7883461321002531E-2</v>
      </c>
    </row>
    <row r="77" spans="2:11" x14ac:dyDescent="0.25">
      <c r="B77" s="15" t="s">
        <v>5</v>
      </c>
      <c r="C77" s="15">
        <v>2024</v>
      </c>
      <c r="D77" s="16">
        <v>25</v>
      </c>
      <c r="E77" s="19">
        <f t="shared" ref="E77:F77" si="76">($N$43)*D77+($N$44)*E76</f>
        <v>26.138766730644875</v>
      </c>
      <c r="F77" s="19">
        <f t="shared" si="76"/>
        <v>27.169854815088605</v>
      </c>
      <c r="G77" s="19">
        <f t="shared" si="40"/>
        <v>25.107678646201144</v>
      </c>
      <c r="H77" s="19">
        <f t="shared" si="41"/>
        <v>-4.1243523377749227</v>
      </c>
      <c r="I77" s="19">
        <f t="shared" si="42"/>
        <v>27.691966155028556</v>
      </c>
      <c r="J77" s="19">
        <f t="shared" si="45"/>
        <v>-0.10767864620114224</v>
      </c>
      <c r="K77" s="19">
        <f t="shared" si="47"/>
        <v>0.10767864620114224</v>
      </c>
    </row>
    <row r="78" spans="2:11" x14ac:dyDescent="0.25">
      <c r="B78" s="15" t="s">
        <v>6</v>
      </c>
      <c r="C78" s="15">
        <v>2024</v>
      </c>
      <c r="D78" s="16">
        <v>20</v>
      </c>
      <c r="E78" s="19">
        <f t="shared" ref="E78:F78" si="77">($N$43)*D78+($N$44)*E77</f>
        <v>21.227753346128974</v>
      </c>
      <c r="F78" s="19">
        <f t="shared" si="77"/>
        <v>22.416173639920903</v>
      </c>
      <c r="G78" s="19">
        <f t="shared" si="40"/>
        <v>20.039333052337046</v>
      </c>
      <c r="H78" s="19">
        <f t="shared" si="41"/>
        <v>-4.7536811751677135</v>
      </c>
      <c r="I78" s="19">
        <f t="shared" si="42"/>
        <v>20.983326308426221</v>
      </c>
      <c r="J78" s="19">
        <f t="shared" si="45"/>
        <v>-4.9166315421311071E-2</v>
      </c>
      <c r="K78" s="19">
        <f t="shared" si="47"/>
        <v>4.9166315421311071E-2</v>
      </c>
    </row>
    <row r="79" spans="2:11" x14ac:dyDescent="0.25">
      <c r="B79" s="15" t="s">
        <v>7</v>
      </c>
      <c r="C79" s="15">
        <v>2024</v>
      </c>
      <c r="D79" s="16">
        <v>17</v>
      </c>
      <c r="E79" s="19">
        <f t="shared" ref="E79:F79" si="78">($N$43)*D79+($N$44)*E78</f>
        <v>17.845550669225798</v>
      </c>
      <c r="F79" s="19">
        <f t="shared" si="78"/>
        <v>18.759675263364819</v>
      </c>
      <c r="G79" s="19">
        <f t="shared" si="40"/>
        <v>16.931426075086776</v>
      </c>
      <c r="H79" s="19">
        <f t="shared" si="41"/>
        <v>-3.6564983765560868</v>
      </c>
      <c r="I79" s="19">
        <f t="shared" si="42"/>
        <v>15.285651877169332</v>
      </c>
      <c r="J79" s="19">
        <f t="shared" si="45"/>
        <v>0.10084400722533339</v>
      </c>
      <c r="K79" s="19">
        <f t="shared" si="47"/>
        <v>0.10084400722533339</v>
      </c>
    </row>
    <row r="80" spans="2:11" x14ac:dyDescent="0.25">
      <c r="B80" s="21" t="s">
        <v>8</v>
      </c>
      <c r="C80" s="21">
        <v>2024</v>
      </c>
      <c r="D80" s="22"/>
      <c r="E80" s="8"/>
      <c r="F80" s="8"/>
      <c r="G80" s="8"/>
      <c r="H80" s="8"/>
      <c r="I80" s="8">
        <f>G79+H79</f>
        <v>13.274927698530689</v>
      </c>
      <c r="J80" s="8" t="s">
        <v>21</v>
      </c>
      <c r="K80" s="20">
        <f>100/36*SUM(K45:K79)</f>
        <v>7.5251655010916449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F07-9522-4BC2-9838-CA3CB5B0E0FA}">
  <dimension ref="C3:N200"/>
  <sheetViews>
    <sheetView topLeftCell="A130" zoomScale="70" zoomScaleNormal="70" workbookViewId="0">
      <selection activeCell="E149" sqref="E149:E159"/>
    </sheetView>
  </sheetViews>
  <sheetFormatPr defaultRowHeight="15" x14ac:dyDescent="0.25"/>
  <cols>
    <col min="3" max="3" width="10.85546875" bestFit="1" customWidth="1"/>
    <col min="4" max="4" width="6.42578125" bestFit="1" customWidth="1"/>
    <col min="5" max="5" width="6.7109375" style="17" bestFit="1" customWidth="1"/>
    <col min="6" max="8" width="12" bestFit="1" customWidth="1"/>
    <col min="9" max="9" width="12.7109375" bestFit="1" customWidth="1"/>
    <col min="10" max="10" width="12" bestFit="1" customWidth="1"/>
    <col min="11" max="11" width="12.7109375" style="25" bestFit="1" customWidth="1"/>
    <col min="12" max="12" width="12" style="25" bestFit="1" customWidth="1"/>
  </cols>
  <sheetData>
    <row r="3" spans="3:14" x14ac:dyDescent="0.25">
      <c r="C3" s="18" t="s">
        <v>0</v>
      </c>
      <c r="D3" s="18" t="s">
        <v>1</v>
      </c>
      <c r="E3" s="18" t="s">
        <v>22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  <c r="K3" s="31" t="s">
        <v>19</v>
      </c>
      <c r="L3" s="31" t="s">
        <v>20</v>
      </c>
      <c r="N3" s="11">
        <v>0.9</v>
      </c>
    </row>
    <row r="4" spans="3:14" x14ac:dyDescent="0.25">
      <c r="C4" s="15" t="s">
        <v>8</v>
      </c>
      <c r="D4" s="15">
        <v>2021</v>
      </c>
      <c r="E4" s="23">
        <v>15</v>
      </c>
      <c r="F4" s="19">
        <v>15</v>
      </c>
      <c r="G4" s="19">
        <v>15</v>
      </c>
      <c r="H4" s="19">
        <v>15</v>
      </c>
      <c r="I4" s="19">
        <v>0</v>
      </c>
      <c r="J4" s="19"/>
      <c r="K4" s="30"/>
      <c r="L4" s="30"/>
      <c r="N4" s="11">
        <v>0.1</v>
      </c>
    </row>
    <row r="5" spans="3:14" x14ac:dyDescent="0.25">
      <c r="C5" s="15" t="s">
        <v>9</v>
      </c>
      <c r="D5" s="15">
        <v>2022</v>
      </c>
      <c r="E5" s="23">
        <v>18</v>
      </c>
      <c r="F5" s="19">
        <f t="shared" ref="F5" si="0">($N$3)*E5+($N$4)*F4</f>
        <v>17.7</v>
      </c>
      <c r="G5" s="19">
        <f t="shared" ref="G5" si="1">($N$3)*F5+($N$4)*G4</f>
        <v>17.43</v>
      </c>
      <c r="H5" s="19">
        <f t="shared" ref="H5" si="2">2*(F5)-(G5)</f>
        <v>17.97</v>
      </c>
      <c r="I5" s="19">
        <f t="shared" ref="I5" si="3">$N$3/$N$4*(F5-G5)</f>
        <v>2.4299999999999962</v>
      </c>
      <c r="J5" s="19">
        <f t="shared" ref="J5:J40" si="4">H4+I4</f>
        <v>15</v>
      </c>
      <c r="K5" s="30">
        <f t="shared" ref="K5" si="5">(E5-J5)/E5</f>
        <v>0.16666666666666666</v>
      </c>
      <c r="L5" s="30">
        <f t="shared" ref="L5:L39" si="6">ABS(K5)</f>
        <v>0.16666666666666666</v>
      </c>
    </row>
    <row r="6" spans="3:14" x14ac:dyDescent="0.25">
      <c r="C6" s="15" t="s">
        <v>10</v>
      </c>
      <c r="D6" s="15">
        <v>2022</v>
      </c>
      <c r="E6" s="23">
        <v>19</v>
      </c>
      <c r="F6" s="19">
        <f t="shared" ref="F6:F39" si="7">($N$3)*E6+($N$4)*F5</f>
        <v>18.87</v>
      </c>
      <c r="G6" s="19">
        <f t="shared" ref="G6:G39" si="8">($N$3)*F6+($N$4)*G5</f>
        <v>18.725999999999999</v>
      </c>
      <c r="H6" s="19">
        <f t="shared" ref="H6:H39" si="9">2*(F6)-(G6)</f>
        <v>19.014000000000003</v>
      </c>
      <c r="I6" s="19">
        <f t="shared" ref="I6:I39" si="10">$N$3/$N$4*(F6-G6)</f>
        <v>1.2960000000000171</v>
      </c>
      <c r="J6" s="19">
        <f t="shared" ref="J6:J39" si="11">H5+I5</f>
        <v>20.399999999999995</v>
      </c>
      <c r="K6" s="30">
        <f t="shared" ref="K6:K39" si="12">(E6-J6)/E6</f>
        <v>-7.3684210526315533E-2</v>
      </c>
      <c r="L6" s="30">
        <f t="shared" si="6"/>
        <v>7.3684210526315533E-2</v>
      </c>
    </row>
    <row r="7" spans="3:14" x14ac:dyDescent="0.25">
      <c r="C7" s="15" t="s">
        <v>11</v>
      </c>
      <c r="D7" s="15">
        <v>2022</v>
      </c>
      <c r="E7" s="23">
        <v>19</v>
      </c>
      <c r="F7" s="19">
        <f t="shared" si="7"/>
        <v>18.987000000000002</v>
      </c>
      <c r="G7" s="19">
        <f t="shared" si="8"/>
        <v>18.960900000000002</v>
      </c>
      <c r="H7" s="19">
        <f t="shared" si="9"/>
        <v>19.013100000000001</v>
      </c>
      <c r="I7" s="19">
        <f t="shared" si="10"/>
        <v>0.23489999999999611</v>
      </c>
      <c r="J7" s="19">
        <f t="shared" si="11"/>
        <v>20.31000000000002</v>
      </c>
      <c r="K7" s="30">
        <f t="shared" si="12"/>
        <v>-6.8947368421053687E-2</v>
      </c>
      <c r="L7" s="30">
        <f t="shared" si="6"/>
        <v>6.8947368421053687E-2</v>
      </c>
    </row>
    <row r="8" spans="3:14" x14ac:dyDescent="0.25">
      <c r="C8" s="15" t="s">
        <v>12</v>
      </c>
      <c r="D8" s="15">
        <v>2022</v>
      </c>
      <c r="E8" s="23">
        <v>20</v>
      </c>
      <c r="F8" s="19">
        <f t="shared" si="7"/>
        <v>19.898700000000002</v>
      </c>
      <c r="G8" s="19">
        <f t="shared" si="8"/>
        <v>19.804920000000003</v>
      </c>
      <c r="H8" s="19">
        <f t="shared" si="9"/>
        <v>19.99248</v>
      </c>
      <c r="I8" s="19">
        <f t="shared" si="10"/>
        <v>0.84401999999998978</v>
      </c>
      <c r="J8" s="19">
        <f t="shared" si="11"/>
        <v>19.247999999999998</v>
      </c>
      <c r="K8" s="30">
        <f t="shared" si="12"/>
        <v>3.7600000000000119E-2</v>
      </c>
      <c r="L8" s="30">
        <f t="shared" si="6"/>
        <v>3.7600000000000119E-2</v>
      </c>
    </row>
    <row r="9" spans="3:14" x14ac:dyDescent="0.25">
      <c r="C9" s="15" t="s">
        <v>13</v>
      </c>
      <c r="D9" s="15">
        <v>2022</v>
      </c>
      <c r="E9" s="23">
        <v>20</v>
      </c>
      <c r="F9" s="19">
        <f t="shared" si="7"/>
        <v>19.98987</v>
      </c>
      <c r="G9" s="19">
        <f t="shared" si="8"/>
        <v>19.971375000000002</v>
      </c>
      <c r="H9" s="19">
        <f t="shared" si="9"/>
        <v>20.008364999999998</v>
      </c>
      <c r="I9" s="19">
        <f t="shared" si="10"/>
        <v>0.16645499999998137</v>
      </c>
      <c r="J9" s="19">
        <f t="shared" si="11"/>
        <v>20.83649999999999</v>
      </c>
      <c r="K9" s="30">
        <f t="shared" si="12"/>
        <v>-4.1824999999999515E-2</v>
      </c>
      <c r="L9" s="30">
        <f t="shared" si="6"/>
        <v>4.1824999999999515E-2</v>
      </c>
    </row>
    <row r="10" spans="3:14" x14ac:dyDescent="0.25">
      <c r="C10" s="15" t="s">
        <v>2</v>
      </c>
      <c r="D10" s="15">
        <v>2022</v>
      </c>
      <c r="E10" s="23">
        <v>22</v>
      </c>
      <c r="F10" s="19">
        <f t="shared" si="7"/>
        <v>21.798987</v>
      </c>
      <c r="G10" s="19">
        <f t="shared" si="8"/>
        <v>21.616225800000002</v>
      </c>
      <c r="H10" s="19">
        <f t="shared" si="9"/>
        <v>21.981748199999998</v>
      </c>
      <c r="I10" s="19">
        <f t="shared" si="10"/>
        <v>1.6448507999999826</v>
      </c>
      <c r="J10" s="19">
        <f t="shared" si="11"/>
        <v>20.174819999999979</v>
      </c>
      <c r="K10" s="30">
        <f t="shared" si="12"/>
        <v>8.2962727272728229E-2</v>
      </c>
      <c r="L10" s="30">
        <f t="shared" si="6"/>
        <v>8.2962727272728229E-2</v>
      </c>
    </row>
    <row r="11" spans="3:14" x14ac:dyDescent="0.25">
      <c r="C11" s="15" t="s">
        <v>4</v>
      </c>
      <c r="D11" s="15">
        <v>2022</v>
      </c>
      <c r="E11" s="23">
        <v>18</v>
      </c>
      <c r="F11" s="19">
        <f t="shared" si="7"/>
        <v>18.379898699999998</v>
      </c>
      <c r="G11" s="19">
        <f t="shared" si="8"/>
        <v>18.70353141</v>
      </c>
      <c r="H11" s="19">
        <f t="shared" si="9"/>
        <v>18.056265989999996</v>
      </c>
      <c r="I11" s="19">
        <f t="shared" si="10"/>
        <v>-2.9126943900000164</v>
      </c>
      <c r="J11" s="19">
        <f t="shared" si="11"/>
        <v>23.626598999999981</v>
      </c>
      <c r="K11" s="30">
        <f t="shared" si="12"/>
        <v>-0.31258883333333226</v>
      </c>
      <c r="L11" s="30">
        <f t="shared" si="6"/>
        <v>0.31258883333333226</v>
      </c>
    </row>
    <row r="12" spans="3:14" x14ac:dyDescent="0.25">
      <c r="C12" s="15" t="s">
        <v>3</v>
      </c>
      <c r="D12" s="15">
        <v>2022</v>
      </c>
      <c r="E12" s="23">
        <v>15</v>
      </c>
      <c r="F12" s="19">
        <f t="shared" si="7"/>
        <v>15.337989869999999</v>
      </c>
      <c r="G12" s="19">
        <f t="shared" si="8"/>
        <v>15.674544024000001</v>
      </c>
      <c r="H12" s="19">
        <f t="shared" si="9"/>
        <v>15.001435715999998</v>
      </c>
      <c r="I12" s="19">
        <f t="shared" si="10"/>
        <v>-3.0289873860000149</v>
      </c>
      <c r="J12" s="19">
        <f t="shared" si="11"/>
        <v>15.14357159999998</v>
      </c>
      <c r="K12" s="30">
        <f t="shared" si="12"/>
        <v>-9.57143999999867E-3</v>
      </c>
      <c r="L12" s="30">
        <f t="shared" si="6"/>
        <v>9.57143999999867E-3</v>
      </c>
    </row>
    <row r="13" spans="3:14" x14ac:dyDescent="0.25">
      <c r="C13" s="15" t="s">
        <v>5</v>
      </c>
      <c r="D13" s="15">
        <v>2022</v>
      </c>
      <c r="E13" s="23">
        <v>13</v>
      </c>
      <c r="F13" s="19">
        <f t="shared" si="7"/>
        <v>13.233798987</v>
      </c>
      <c r="G13" s="19">
        <f t="shared" si="8"/>
        <v>13.477873490700002</v>
      </c>
      <c r="H13" s="19">
        <f t="shared" si="9"/>
        <v>12.989724483299998</v>
      </c>
      <c r="I13" s="19">
        <f t="shared" si="10"/>
        <v>-2.1966705333000185</v>
      </c>
      <c r="J13" s="19">
        <f t="shared" si="11"/>
        <v>11.972448329999983</v>
      </c>
      <c r="K13" s="30">
        <f t="shared" si="12"/>
        <v>7.904243615384747E-2</v>
      </c>
      <c r="L13" s="30">
        <f t="shared" si="6"/>
        <v>7.904243615384747E-2</v>
      </c>
    </row>
    <row r="14" spans="3:14" x14ac:dyDescent="0.25">
      <c r="C14" s="15" t="s">
        <v>6</v>
      </c>
      <c r="D14" s="15">
        <v>2022</v>
      </c>
      <c r="E14" s="23">
        <v>13</v>
      </c>
      <c r="F14" s="19">
        <f t="shared" si="7"/>
        <v>13.023379898700002</v>
      </c>
      <c r="G14" s="19">
        <f t="shared" si="8"/>
        <v>13.068829257900001</v>
      </c>
      <c r="H14" s="19">
        <f t="shared" si="9"/>
        <v>12.977930539500003</v>
      </c>
      <c r="I14" s="19">
        <f t="shared" si="10"/>
        <v>-0.40904423279999236</v>
      </c>
      <c r="J14" s="19">
        <f t="shared" si="11"/>
        <v>10.79305394999998</v>
      </c>
      <c r="K14" s="30">
        <f t="shared" si="12"/>
        <v>0.16976508076923233</v>
      </c>
      <c r="L14" s="30">
        <f t="shared" si="6"/>
        <v>0.16976508076923233</v>
      </c>
    </row>
    <row r="15" spans="3:14" x14ac:dyDescent="0.25">
      <c r="C15" s="15" t="s">
        <v>7</v>
      </c>
      <c r="D15" s="15">
        <v>2022</v>
      </c>
      <c r="E15" s="23">
        <v>12</v>
      </c>
      <c r="F15" s="19">
        <f t="shared" si="7"/>
        <v>12.102337989870001</v>
      </c>
      <c r="G15" s="19">
        <f t="shared" si="8"/>
        <v>12.198987116673003</v>
      </c>
      <c r="H15" s="19">
        <f t="shared" si="9"/>
        <v>12.005688863067</v>
      </c>
      <c r="I15" s="19">
        <f t="shared" si="10"/>
        <v>-0.86984214122701076</v>
      </c>
      <c r="J15" s="19">
        <f t="shared" si="11"/>
        <v>12.56888630670001</v>
      </c>
      <c r="K15" s="30">
        <f t="shared" si="12"/>
        <v>-4.7407192225000859E-2</v>
      </c>
      <c r="L15" s="30">
        <f t="shared" si="6"/>
        <v>4.7407192225000859E-2</v>
      </c>
    </row>
    <row r="16" spans="3:14" x14ac:dyDescent="0.25">
      <c r="C16" s="15" t="s">
        <v>8</v>
      </c>
      <c r="D16" s="15">
        <v>2022</v>
      </c>
      <c r="E16" s="23">
        <v>11</v>
      </c>
      <c r="F16" s="19">
        <f t="shared" si="7"/>
        <v>11.110233798987</v>
      </c>
      <c r="G16" s="19">
        <f t="shared" si="8"/>
        <v>11.2191091307556</v>
      </c>
      <c r="H16" s="19">
        <f t="shared" si="9"/>
        <v>11.001358467218401</v>
      </c>
      <c r="I16" s="19">
        <f t="shared" si="10"/>
        <v>-0.97987798591739583</v>
      </c>
      <c r="J16" s="19">
        <f t="shared" si="11"/>
        <v>11.135846721839989</v>
      </c>
      <c r="K16" s="30">
        <f t="shared" si="12"/>
        <v>-1.2349701985453588E-2</v>
      </c>
      <c r="L16" s="30">
        <f t="shared" si="6"/>
        <v>1.2349701985453588E-2</v>
      </c>
    </row>
    <row r="17" spans="3:12" x14ac:dyDescent="0.25">
      <c r="C17" s="15" t="s">
        <v>9</v>
      </c>
      <c r="D17" s="15">
        <v>2023</v>
      </c>
      <c r="E17" s="23">
        <v>10</v>
      </c>
      <c r="F17" s="19">
        <f t="shared" si="7"/>
        <v>10.1110233798987</v>
      </c>
      <c r="G17" s="19">
        <f t="shared" si="8"/>
        <v>10.22183195498439</v>
      </c>
      <c r="H17" s="19">
        <f t="shared" si="9"/>
        <v>10.000214804813011</v>
      </c>
      <c r="I17" s="19">
        <f t="shared" si="10"/>
        <v>-0.99727717577120778</v>
      </c>
      <c r="J17" s="19">
        <f t="shared" si="11"/>
        <v>10.021480481301005</v>
      </c>
      <c r="K17" s="30">
        <f t="shared" si="12"/>
        <v>-2.1480481301004773E-3</v>
      </c>
      <c r="L17" s="30">
        <f t="shared" si="6"/>
        <v>2.1480481301004773E-3</v>
      </c>
    </row>
    <row r="18" spans="3:12" x14ac:dyDescent="0.25">
      <c r="C18" s="15" t="s">
        <v>10</v>
      </c>
      <c r="D18" s="15">
        <v>2023</v>
      </c>
      <c r="E18" s="23">
        <v>12</v>
      </c>
      <c r="F18" s="19">
        <f t="shared" si="7"/>
        <v>11.811102337989871</v>
      </c>
      <c r="G18" s="19">
        <f t="shared" si="8"/>
        <v>11.652175299689322</v>
      </c>
      <c r="H18" s="19">
        <f t="shared" si="9"/>
        <v>11.97002937629042</v>
      </c>
      <c r="I18" s="19">
        <f t="shared" si="10"/>
        <v>1.430343344704939</v>
      </c>
      <c r="J18" s="19">
        <f t="shared" si="11"/>
        <v>9.0029376290418028</v>
      </c>
      <c r="K18" s="30">
        <f t="shared" si="12"/>
        <v>0.24975519757984976</v>
      </c>
      <c r="L18" s="30">
        <f t="shared" si="6"/>
        <v>0.24975519757984976</v>
      </c>
    </row>
    <row r="19" spans="3:12" x14ac:dyDescent="0.25">
      <c r="C19" s="15" t="s">
        <v>11</v>
      </c>
      <c r="D19" s="15">
        <v>2023</v>
      </c>
      <c r="E19" s="23">
        <v>14</v>
      </c>
      <c r="F19" s="19">
        <f t="shared" si="7"/>
        <v>13.781110233798987</v>
      </c>
      <c r="G19" s="19">
        <f t="shared" si="8"/>
        <v>13.568216740388023</v>
      </c>
      <c r="H19" s="19">
        <f t="shared" si="9"/>
        <v>13.994003727209952</v>
      </c>
      <c r="I19" s="19">
        <f t="shared" si="10"/>
        <v>1.9160414406986828</v>
      </c>
      <c r="J19" s="19">
        <f t="shared" si="11"/>
        <v>13.400372720995358</v>
      </c>
      <c r="K19" s="30">
        <f t="shared" si="12"/>
        <v>4.2830519928902966E-2</v>
      </c>
      <c r="L19" s="30">
        <f t="shared" si="6"/>
        <v>4.2830519928902966E-2</v>
      </c>
    </row>
    <row r="20" spans="3:12" x14ac:dyDescent="0.25">
      <c r="C20" s="15" t="s">
        <v>12</v>
      </c>
      <c r="D20" s="15">
        <v>2023</v>
      </c>
      <c r="E20" s="23">
        <v>18</v>
      </c>
      <c r="F20" s="19">
        <f t="shared" si="7"/>
        <v>17.578111023379897</v>
      </c>
      <c r="G20" s="19">
        <f t="shared" si="8"/>
        <v>17.17712159508071</v>
      </c>
      <c r="H20" s="19">
        <f t="shared" si="9"/>
        <v>17.979100451679084</v>
      </c>
      <c r="I20" s="19">
        <f t="shared" si="10"/>
        <v>3.6089048546926854</v>
      </c>
      <c r="J20" s="19">
        <f t="shared" si="11"/>
        <v>15.910045167908635</v>
      </c>
      <c r="K20" s="30">
        <f t="shared" si="12"/>
        <v>0.11610860178285362</v>
      </c>
      <c r="L20" s="30">
        <f t="shared" si="6"/>
        <v>0.11610860178285362</v>
      </c>
    </row>
    <row r="21" spans="3:12" x14ac:dyDescent="0.25">
      <c r="C21" s="15" t="s">
        <v>13</v>
      </c>
      <c r="D21" s="15">
        <v>2023</v>
      </c>
      <c r="E21" s="23">
        <v>20</v>
      </c>
      <c r="F21" s="19">
        <f t="shared" si="7"/>
        <v>19.757811102337989</v>
      </c>
      <c r="G21" s="19">
        <f t="shared" si="8"/>
        <v>19.499742151612264</v>
      </c>
      <c r="H21" s="19">
        <f t="shared" si="9"/>
        <v>20.015880053063714</v>
      </c>
      <c r="I21" s="19">
        <f t="shared" si="10"/>
        <v>2.322620556531529</v>
      </c>
      <c r="J21" s="19">
        <f t="shared" si="11"/>
        <v>21.58800530637177</v>
      </c>
      <c r="K21" s="30">
        <f t="shared" si="12"/>
        <v>-7.9400265318588487E-2</v>
      </c>
      <c r="L21" s="30">
        <f t="shared" si="6"/>
        <v>7.9400265318588487E-2</v>
      </c>
    </row>
    <row r="22" spans="3:12" x14ac:dyDescent="0.25">
      <c r="C22" s="15" t="s">
        <v>2</v>
      </c>
      <c r="D22" s="15">
        <v>2023</v>
      </c>
      <c r="E22" s="23">
        <v>22</v>
      </c>
      <c r="F22" s="19">
        <f t="shared" si="7"/>
        <v>21.775781110233801</v>
      </c>
      <c r="G22" s="19">
        <f t="shared" si="8"/>
        <v>21.548177214371648</v>
      </c>
      <c r="H22" s="19">
        <f t="shared" si="9"/>
        <v>22.003385006095954</v>
      </c>
      <c r="I22" s="19">
        <f t="shared" si="10"/>
        <v>2.0484350627593741</v>
      </c>
      <c r="J22" s="19">
        <f t="shared" si="11"/>
        <v>22.338500609595243</v>
      </c>
      <c r="K22" s="30">
        <f t="shared" si="12"/>
        <v>-1.5386391345238337E-2</v>
      </c>
      <c r="L22" s="30">
        <f t="shared" si="6"/>
        <v>1.5386391345238337E-2</v>
      </c>
    </row>
    <row r="23" spans="3:12" x14ac:dyDescent="0.25">
      <c r="C23" s="15" t="s">
        <v>4</v>
      </c>
      <c r="D23" s="15">
        <v>2023</v>
      </c>
      <c r="E23" s="23">
        <v>20</v>
      </c>
      <c r="F23" s="19">
        <f t="shared" si="7"/>
        <v>20.177578111023379</v>
      </c>
      <c r="G23" s="19">
        <f t="shared" si="8"/>
        <v>20.314638021358206</v>
      </c>
      <c r="H23" s="19">
        <f t="shared" si="9"/>
        <v>20.040518200688552</v>
      </c>
      <c r="I23" s="19">
        <f t="shared" si="10"/>
        <v>-1.2335391930134421</v>
      </c>
      <c r="J23" s="19">
        <f t="shared" si="11"/>
        <v>24.051820068855328</v>
      </c>
      <c r="K23" s="30">
        <f t="shared" si="12"/>
        <v>-0.2025910034427664</v>
      </c>
      <c r="L23" s="30">
        <f t="shared" si="6"/>
        <v>0.2025910034427664</v>
      </c>
    </row>
    <row r="24" spans="3:12" x14ac:dyDescent="0.25">
      <c r="C24" s="15" t="s">
        <v>3</v>
      </c>
      <c r="D24" s="15">
        <v>2023</v>
      </c>
      <c r="E24" s="23">
        <v>19</v>
      </c>
      <c r="F24" s="19">
        <f t="shared" si="7"/>
        <v>19.11775781110234</v>
      </c>
      <c r="G24" s="19">
        <f t="shared" si="8"/>
        <v>19.237445832127928</v>
      </c>
      <c r="H24" s="19">
        <f t="shared" si="9"/>
        <v>18.998069790076752</v>
      </c>
      <c r="I24" s="19">
        <f t="shared" si="10"/>
        <v>-1.0771921892302956</v>
      </c>
      <c r="J24" s="19">
        <f t="shared" si="11"/>
        <v>18.80697900767511</v>
      </c>
      <c r="K24" s="30">
        <f t="shared" si="12"/>
        <v>1.015899959604682E-2</v>
      </c>
      <c r="L24" s="30">
        <f t="shared" si="6"/>
        <v>1.015899959604682E-2</v>
      </c>
    </row>
    <row r="25" spans="3:12" x14ac:dyDescent="0.25">
      <c r="C25" s="15" t="s">
        <v>5</v>
      </c>
      <c r="D25" s="15">
        <v>2023</v>
      </c>
      <c r="E25" s="23">
        <v>19</v>
      </c>
      <c r="F25" s="19">
        <f t="shared" si="7"/>
        <v>19.011775781110234</v>
      </c>
      <c r="G25" s="19">
        <f t="shared" si="8"/>
        <v>19.034342786212001</v>
      </c>
      <c r="H25" s="19">
        <f t="shared" si="9"/>
        <v>18.989208776008468</v>
      </c>
      <c r="I25" s="19">
        <f t="shared" si="10"/>
        <v>-0.20310304591589912</v>
      </c>
      <c r="J25" s="19">
        <f t="shared" si="11"/>
        <v>17.920877600846456</v>
      </c>
      <c r="K25" s="30">
        <f t="shared" si="12"/>
        <v>5.6795915744923361E-2</v>
      </c>
      <c r="L25" s="30">
        <f t="shared" si="6"/>
        <v>5.6795915744923361E-2</v>
      </c>
    </row>
    <row r="26" spans="3:12" x14ac:dyDescent="0.25">
      <c r="C26" s="15" t="s">
        <v>6</v>
      </c>
      <c r="D26" s="15">
        <v>2023</v>
      </c>
      <c r="E26" s="23">
        <v>18</v>
      </c>
      <c r="F26" s="19">
        <f t="shared" si="7"/>
        <v>18.101177578111024</v>
      </c>
      <c r="G26" s="19">
        <f t="shared" si="8"/>
        <v>18.194494098921123</v>
      </c>
      <c r="H26" s="19">
        <f t="shared" si="9"/>
        <v>18.007861057300925</v>
      </c>
      <c r="I26" s="19">
        <f t="shared" si="10"/>
        <v>-0.83984868729088902</v>
      </c>
      <c r="J26" s="19">
        <f t="shared" si="11"/>
        <v>18.786105730092569</v>
      </c>
      <c r="K26" s="30">
        <f t="shared" si="12"/>
        <v>-4.3672540560698261E-2</v>
      </c>
      <c r="L26" s="30">
        <f t="shared" si="6"/>
        <v>4.3672540560698261E-2</v>
      </c>
    </row>
    <row r="27" spans="3:12" x14ac:dyDescent="0.25">
      <c r="C27" s="15" t="s">
        <v>7</v>
      </c>
      <c r="D27" s="15">
        <v>2023</v>
      </c>
      <c r="E27" s="23">
        <v>18</v>
      </c>
      <c r="F27" s="19">
        <f t="shared" si="7"/>
        <v>18.010117757811102</v>
      </c>
      <c r="G27" s="19">
        <f t="shared" si="8"/>
        <v>18.028555391922104</v>
      </c>
      <c r="H27" s="19">
        <f t="shared" si="9"/>
        <v>17.9916801237001</v>
      </c>
      <c r="I27" s="19">
        <f t="shared" si="10"/>
        <v>-0.16593870699902169</v>
      </c>
      <c r="J27" s="19">
        <f t="shared" si="11"/>
        <v>17.168012370010036</v>
      </c>
      <c r="K27" s="30">
        <f t="shared" si="12"/>
        <v>4.6221534999442447E-2</v>
      </c>
      <c r="L27" s="30">
        <f t="shared" si="6"/>
        <v>4.6221534999442447E-2</v>
      </c>
    </row>
    <row r="28" spans="3:12" x14ac:dyDescent="0.25">
      <c r="C28" s="15" t="s">
        <v>8</v>
      </c>
      <c r="D28" s="15">
        <v>2023</v>
      </c>
      <c r="E28" s="23">
        <v>16</v>
      </c>
      <c r="F28" s="19">
        <f t="shared" si="7"/>
        <v>16.201011775781112</v>
      </c>
      <c r="G28" s="19">
        <f t="shared" si="8"/>
        <v>16.383766137395213</v>
      </c>
      <c r="H28" s="19">
        <f t="shared" si="9"/>
        <v>16.01825741416701</v>
      </c>
      <c r="I28" s="19">
        <f t="shared" si="10"/>
        <v>-1.6447892545269127</v>
      </c>
      <c r="J28" s="19">
        <f t="shared" si="11"/>
        <v>17.825741416701078</v>
      </c>
      <c r="K28" s="30">
        <f t="shared" si="12"/>
        <v>-0.11410883854381737</v>
      </c>
      <c r="L28" s="30">
        <f t="shared" si="6"/>
        <v>0.11410883854381737</v>
      </c>
    </row>
    <row r="29" spans="3:12" x14ac:dyDescent="0.25">
      <c r="C29" s="15" t="s">
        <v>9</v>
      </c>
      <c r="D29" s="15">
        <v>2024</v>
      </c>
      <c r="E29" s="23">
        <v>18</v>
      </c>
      <c r="F29" s="19">
        <f t="shared" si="7"/>
        <v>17.82010117757811</v>
      </c>
      <c r="G29" s="19">
        <f t="shared" si="8"/>
        <v>17.67646767355982</v>
      </c>
      <c r="H29" s="19">
        <f t="shared" si="9"/>
        <v>17.963734681596399</v>
      </c>
      <c r="I29" s="19">
        <f t="shared" si="10"/>
        <v>1.292701536164607</v>
      </c>
      <c r="J29" s="19">
        <f t="shared" si="11"/>
        <v>14.373468159640097</v>
      </c>
      <c r="K29" s="30">
        <f t="shared" si="12"/>
        <v>0.2014739911311057</v>
      </c>
      <c r="L29" s="30">
        <f t="shared" si="6"/>
        <v>0.2014739911311057</v>
      </c>
    </row>
    <row r="30" spans="3:12" x14ac:dyDescent="0.25">
      <c r="C30" s="15" t="s">
        <v>10</v>
      </c>
      <c r="D30" s="15">
        <v>2024</v>
      </c>
      <c r="E30" s="23">
        <v>20</v>
      </c>
      <c r="F30" s="19">
        <f t="shared" si="7"/>
        <v>19.78201011775781</v>
      </c>
      <c r="G30" s="19">
        <f t="shared" si="8"/>
        <v>19.57145587333801</v>
      </c>
      <c r="H30" s="19">
        <f t="shared" si="9"/>
        <v>19.99256436217761</v>
      </c>
      <c r="I30" s="19">
        <f t="shared" si="10"/>
        <v>1.8949881997782008</v>
      </c>
      <c r="J30" s="19">
        <f t="shared" si="11"/>
        <v>19.256436217761006</v>
      </c>
      <c r="K30" s="30">
        <f t="shared" si="12"/>
        <v>3.7178189111949679E-2</v>
      </c>
      <c r="L30" s="30">
        <f t="shared" si="6"/>
        <v>3.7178189111949679E-2</v>
      </c>
    </row>
    <row r="31" spans="3:12" x14ac:dyDescent="0.25">
      <c r="C31" s="15" t="s">
        <v>11</v>
      </c>
      <c r="D31" s="15">
        <v>2024</v>
      </c>
      <c r="E31" s="23">
        <v>22</v>
      </c>
      <c r="F31" s="19">
        <f t="shared" si="7"/>
        <v>21.778201011775781</v>
      </c>
      <c r="G31" s="19">
        <f t="shared" si="8"/>
        <v>21.557526497932006</v>
      </c>
      <c r="H31" s="19">
        <f t="shared" si="9"/>
        <v>21.998875525619557</v>
      </c>
      <c r="I31" s="19">
        <f t="shared" si="10"/>
        <v>1.9860706245939781</v>
      </c>
      <c r="J31" s="19">
        <f t="shared" si="11"/>
        <v>21.887552561955811</v>
      </c>
      <c r="K31" s="30">
        <f t="shared" si="12"/>
        <v>5.1112471838267674E-3</v>
      </c>
      <c r="L31" s="30">
        <f t="shared" si="6"/>
        <v>5.1112471838267674E-3</v>
      </c>
    </row>
    <row r="32" spans="3:12" x14ac:dyDescent="0.25">
      <c r="C32" s="15" t="s">
        <v>12</v>
      </c>
      <c r="D32" s="15">
        <v>2024</v>
      </c>
      <c r="E32" s="23">
        <v>22</v>
      </c>
      <c r="F32" s="19">
        <f t="shared" si="7"/>
        <v>21.977820101177578</v>
      </c>
      <c r="G32" s="19">
        <f t="shared" si="8"/>
        <v>21.935790740853022</v>
      </c>
      <c r="H32" s="19">
        <f t="shared" si="9"/>
        <v>22.019849461502133</v>
      </c>
      <c r="I32" s="19">
        <f t="shared" si="10"/>
        <v>0.37826424292099858</v>
      </c>
      <c r="J32" s="19">
        <f t="shared" si="11"/>
        <v>23.984946150213535</v>
      </c>
      <c r="K32" s="30">
        <f t="shared" si="12"/>
        <v>-9.0224825009706133E-2</v>
      </c>
      <c r="L32" s="30">
        <f t="shared" si="6"/>
        <v>9.0224825009706133E-2</v>
      </c>
    </row>
    <row r="33" spans="3:14" x14ac:dyDescent="0.25">
      <c r="C33" s="15" t="s">
        <v>13</v>
      </c>
      <c r="D33" s="15">
        <v>2024</v>
      </c>
      <c r="E33" s="23">
        <v>25</v>
      </c>
      <c r="F33" s="19">
        <f t="shared" si="7"/>
        <v>24.697782010117759</v>
      </c>
      <c r="G33" s="19">
        <f t="shared" si="8"/>
        <v>24.421582883191288</v>
      </c>
      <c r="H33" s="19">
        <f t="shared" si="9"/>
        <v>24.97398113704423</v>
      </c>
      <c r="I33" s="19">
        <f t="shared" si="10"/>
        <v>2.4857921423382408</v>
      </c>
      <c r="J33" s="19">
        <f t="shared" si="11"/>
        <v>22.398113704423132</v>
      </c>
      <c r="K33" s="30">
        <f t="shared" si="12"/>
        <v>0.10407545182307473</v>
      </c>
      <c r="L33" s="30">
        <f t="shared" si="6"/>
        <v>0.10407545182307473</v>
      </c>
    </row>
    <row r="34" spans="3:14" x14ac:dyDescent="0.25">
      <c r="C34" s="15" t="s">
        <v>2</v>
      </c>
      <c r="D34" s="15">
        <v>2024</v>
      </c>
      <c r="E34" s="23">
        <v>26</v>
      </c>
      <c r="F34" s="19">
        <f t="shared" si="7"/>
        <v>25.869778201011776</v>
      </c>
      <c r="G34" s="19">
        <f t="shared" si="8"/>
        <v>25.724958669229729</v>
      </c>
      <c r="H34" s="19">
        <f t="shared" si="9"/>
        <v>26.014597732793824</v>
      </c>
      <c r="I34" s="19">
        <f t="shared" si="10"/>
        <v>1.3033757860384299</v>
      </c>
      <c r="J34" s="19">
        <f t="shared" si="11"/>
        <v>27.459773279382471</v>
      </c>
      <c r="K34" s="30">
        <f t="shared" si="12"/>
        <v>-5.6145126130095042E-2</v>
      </c>
      <c r="L34" s="30">
        <f t="shared" si="6"/>
        <v>5.6145126130095042E-2</v>
      </c>
    </row>
    <row r="35" spans="3:14" x14ac:dyDescent="0.25">
      <c r="C35" s="15" t="s">
        <v>4</v>
      </c>
      <c r="D35" s="15">
        <v>2024</v>
      </c>
      <c r="E35" s="23">
        <v>24</v>
      </c>
      <c r="F35" s="19">
        <f t="shared" si="7"/>
        <v>24.18697782010118</v>
      </c>
      <c r="G35" s="19">
        <f t="shared" si="8"/>
        <v>24.340775905014038</v>
      </c>
      <c r="H35" s="19">
        <f t="shared" si="9"/>
        <v>24.033179735188323</v>
      </c>
      <c r="I35" s="19">
        <f t="shared" si="10"/>
        <v>-1.3841827642157156</v>
      </c>
      <c r="J35" s="19">
        <f t="shared" si="11"/>
        <v>27.317973518832254</v>
      </c>
      <c r="K35" s="30">
        <f t="shared" si="12"/>
        <v>-0.13824889661801057</v>
      </c>
      <c r="L35" s="30">
        <f t="shared" si="6"/>
        <v>0.13824889661801057</v>
      </c>
    </row>
    <row r="36" spans="3:14" x14ac:dyDescent="0.25">
      <c r="C36" s="15" t="s">
        <v>3</v>
      </c>
      <c r="D36" s="15">
        <v>2024</v>
      </c>
      <c r="E36" s="23">
        <v>20</v>
      </c>
      <c r="F36" s="19">
        <f t="shared" si="7"/>
        <v>20.418697782010117</v>
      </c>
      <c r="G36" s="19">
        <f t="shared" si="8"/>
        <v>20.810905594310508</v>
      </c>
      <c r="H36" s="19">
        <f t="shared" si="9"/>
        <v>20.026489969709726</v>
      </c>
      <c r="I36" s="19">
        <f t="shared" si="10"/>
        <v>-3.5298703107035223</v>
      </c>
      <c r="J36" s="19">
        <f t="shared" si="11"/>
        <v>22.648996970972608</v>
      </c>
      <c r="K36" s="30">
        <f t="shared" si="12"/>
        <v>-0.13244984854863037</v>
      </c>
      <c r="L36" s="30">
        <f t="shared" si="6"/>
        <v>0.13244984854863037</v>
      </c>
    </row>
    <row r="37" spans="3:14" x14ac:dyDescent="0.25">
      <c r="C37" s="15" t="s">
        <v>5</v>
      </c>
      <c r="D37" s="15">
        <v>2024</v>
      </c>
      <c r="E37" s="23">
        <v>19</v>
      </c>
      <c r="F37" s="19">
        <f t="shared" si="7"/>
        <v>19.141869778201013</v>
      </c>
      <c r="G37" s="19">
        <f t="shared" si="8"/>
        <v>19.308773359811962</v>
      </c>
      <c r="H37" s="19">
        <f t="shared" si="9"/>
        <v>18.974966196590064</v>
      </c>
      <c r="I37" s="19">
        <f t="shared" si="10"/>
        <v>-1.5021322344985428</v>
      </c>
      <c r="J37" s="19">
        <f t="shared" si="11"/>
        <v>16.496619659006203</v>
      </c>
      <c r="K37" s="30">
        <f t="shared" si="12"/>
        <v>0.13175686005230508</v>
      </c>
      <c r="L37" s="30">
        <f t="shared" si="6"/>
        <v>0.13175686005230508</v>
      </c>
    </row>
    <row r="38" spans="3:14" x14ac:dyDescent="0.25">
      <c r="C38" s="15" t="s">
        <v>6</v>
      </c>
      <c r="D38" s="15">
        <v>2024</v>
      </c>
      <c r="E38" s="23">
        <v>18</v>
      </c>
      <c r="F38" s="19">
        <f t="shared" si="7"/>
        <v>18.114186977820101</v>
      </c>
      <c r="G38" s="19">
        <f t="shared" si="8"/>
        <v>18.233645616019288</v>
      </c>
      <c r="H38" s="19">
        <f t="shared" si="9"/>
        <v>17.994728339620913</v>
      </c>
      <c r="I38" s="19">
        <f t="shared" si="10"/>
        <v>-1.0751277437926881</v>
      </c>
      <c r="J38" s="19">
        <f t="shared" si="11"/>
        <v>17.472833962091521</v>
      </c>
      <c r="K38" s="30">
        <f t="shared" si="12"/>
        <v>2.9287002106026624E-2</v>
      </c>
      <c r="L38" s="30">
        <f t="shared" si="6"/>
        <v>2.9287002106026624E-2</v>
      </c>
    </row>
    <row r="39" spans="3:14" x14ac:dyDescent="0.25">
      <c r="C39" s="15" t="s">
        <v>7</v>
      </c>
      <c r="D39" s="15">
        <v>2024</v>
      </c>
      <c r="E39" s="23">
        <v>15</v>
      </c>
      <c r="F39" s="19">
        <f t="shared" si="7"/>
        <v>15.31141869778201</v>
      </c>
      <c r="G39" s="19">
        <f t="shared" si="8"/>
        <v>15.603641389605738</v>
      </c>
      <c r="H39" s="19">
        <f t="shared" si="9"/>
        <v>15.019196005958282</v>
      </c>
      <c r="I39" s="19">
        <f t="shared" si="10"/>
        <v>-2.6300042264135506</v>
      </c>
      <c r="J39" s="19">
        <f t="shared" si="11"/>
        <v>16.919600595828225</v>
      </c>
      <c r="K39" s="30">
        <f t="shared" si="12"/>
        <v>-0.127973373055215</v>
      </c>
      <c r="L39" s="30">
        <f t="shared" si="6"/>
        <v>0.127973373055215</v>
      </c>
    </row>
    <row r="40" spans="3:14" x14ac:dyDescent="0.25">
      <c r="C40" s="21" t="s">
        <v>8</v>
      </c>
      <c r="D40" s="21">
        <v>2024</v>
      </c>
      <c r="E40" s="22"/>
      <c r="F40" s="8"/>
      <c r="G40" s="8"/>
      <c r="H40" s="8"/>
      <c r="I40" s="8"/>
      <c r="J40" s="8">
        <f t="shared" si="4"/>
        <v>12.389191779544731</v>
      </c>
      <c r="K40" s="32" t="s">
        <v>21</v>
      </c>
      <c r="L40" s="32">
        <f>100/36*SUM(L5:L39)</f>
        <v>8.7097592363800054</v>
      </c>
    </row>
    <row r="43" spans="3:14" x14ac:dyDescent="0.25">
      <c r="C43" s="18" t="s">
        <v>0</v>
      </c>
      <c r="D43" s="18" t="s">
        <v>1</v>
      </c>
      <c r="E43" s="18" t="s">
        <v>22</v>
      </c>
      <c r="F43" s="18" t="s">
        <v>14</v>
      </c>
      <c r="G43" s="18" t="s">
        <v>15</v>
      </c>
      <c r="H43" s="18" t="s">
        <v>16</v>
      </c>
      <c r="I43" s="18" t="s">
        <v>17</v>
      </c>
      <c r="J43" s="18" t="s">
        <v>18</v>
      </c>
      <c r="K43" s="31" t="s">
        <v>19</v>
      </c>
      <c r="L43" s="31" t="s">
        <v>20</v>
      </c>
      <c r="N43" s="11">
        <v>0.8</v>
      </c>
    </row>
    <row r="44" spans="3:14" x14ac:dyDescent="0.25">
      <c r="C44" s="15" t="s">
        <v>8</v>
      </c>
      <c r="D44" s="15">
        <v>2021</v>
      </c>
      <c r="E44" s="23">
        <v>15</v>
      </c>
      <c r="F44" s="19">
        <v>15</v>
      </c>
      <c r="G44" s="19">
        <v>15</v>
      </c>
      <c r="H44" s="19">
        <v>15</v>
      </c>
      <c r="I44" s="19">
        <v>0</v>
      </c>
      <c r="J44" s="19"/>
      <c r="K44" s="30"/>
      <c r="L44" s="30"/>
      <c r="N44" s="11">
        <v>0.2</v>
      </c>
    </row>
    <row r="45" spans="3:14" x14ac:dyDescent="0.25">
      <c r="C45" s="15" t="s">
        <v>9</v>
      </c>
      <c r="D45" s="15">
        <v>2022</v>
      </c>
      <c r="E45" s="23">
        <v>18</v>
      </c>
      <c r="F45" s="19">
        <f>($N$43)*E45+($N$44)*F44</f>
        <v>17.399999999999999</v>
      </c>
      <c r="G45" s="19">
        <f>($N$43)*F45+($N$44)*G44</f>
        <v>16.920000000000002</v>
      </c>
      <c r="H45" s="19">
        <f t="shared" ref="H45" si="13">2*(F45)-(G45)</f>
        <v>17.879999999999995</v>
      </c>
      <c r="I45" s="19">
        <f>$N$43/$N$44*(F45-G45)</f>
        <v>1.9199999999999875</v>
      </c>
      <c r="J45" s="19">
        <f t="shared" ref="J45:J80" si="14">H44+I44</f>
        <v>15</v>
      </c>
      <c r="K45" s="30">
        <f t="shared" ref="K45" si="15">(E45-J45)/E45</f>
        <v>0.16666666666666666</v>
      </c>
      <c r="L45" s="30">
        <f t="shared" ref="L45:L79" si="16">ABS(K45)</f>
        <v>0.16666666666666666</v>
      </c>
    </row>
    <row r="46" spans="3:14" x14ac:dyDescent="0.25">
      <c r="C46" s="15" t="s">
        <v>10</v>
      </c>
      <c r="D46" s="15">
        <v>2022</v>
      </c>
      <c r="E46" s="23">
        <v>19</v>
      </c>
      <c r="F46" s="19">
        <f t="shared" ref="F46:G46" si="17">($N$43)*E46+($N$44)*F45</f>
        <v>18.68</v>
      </c>
      <c r="G46" s="19">
        <f t="shared" si="17"/>
        <v>18.328000000000003</v>
      </c>
      <c r="H46" s="19">
        <f t="shared" ref="H46:H79" si="18">2*(F46)-(G46)</f>
        <v>19.031999999999996</v>
      </c>
      <c r="I46" s="19">
        <f t="shared" ref="I46:I79" si="19">$N$43/$N$44*(F46-G46)</f>
        <v>1.407999999999987</v>
      </c>
      <c r="J46" s="19">
        <f t="shared" ref="J46:J79" si="20">H45+I45</f>
        <v>19.799999999999983</v>
      </c>
      <c r="K46" s="30">
        <f t="shared" ref="K46:K79" si="21">(E46-J46)/E46</f>
        <v>-4.2105263157893841E-2</v>
      </c>
      <c r="L46" s="30">
        <f t="shared" si="16"/>
        <v>4.2105263157893841E-2</v>
      </c>
    </row>
    <row r="47" spans="3:14" x14ac:dyDescent="0.25">
      <c r="C47" s="15" t="s">
        <v>11</v>
      </c>
      <c r="D47" s="15">
        <v>2022</v>
      </c>
      <c r="E47" s="23">
        <v>19</v>
      </c>
      <c r="F47" s="19">
        <f t="shared" ref="F47:G47" si="22">($N$43)*E47+($N$44)*F46</f>
        <v>18.936</v>
      </c>
      <c r="G47" s="19">
        <f t="shared" si="22"/>
        <v>18.814400000000003</v>
      </c>
      <c r="H47" s="19">
        <f t="shared" si="18"/>
        <v>19.057599999999997</v>
      </c>
      <c r="I47" s="19">
        <f t="shared" si="19"/>
        <v>0.48639999999998906</v>
      </c>
      <c r="J47" s="19">
        <f t="shared" si="20"/>
        <v>20.439999999999984</v>
      </c>
      <c r="K47" s="30">
        <f t="shared" si="21"/>
        <v>-7.5789473684209657E-2</v>
      </c>
      <c r="L47" s="30">
        <f t="shared" si="16"/>
        <v>7.5789473684209657E-2</v>
      </c>
    </row>
    <row r="48" spans="3:14" x14ac:dyDescent="0.25">
      <c r="C48" s="15" t="s">
        <v>12</v>
      </c>
      <c r="D48" s="15">
        <v>2022</v>
      </c>
      <c r="E48" s="23">
        <v>20</v>
      </c>
      <c r="F48" s="19">
        <f t="shared" ref="F48:G48" si="23">($N$43)*E48+($N$44)*F47</f>
        <v>19.787199999999999</v>
      </c>
      <c r="G48" s="19">
        <f t="shared" si="23"/>
        <v>19.592640000000003</v>
      </c>
      <c r="H48" s="19">
        <f t="shared" si="18"/>
        <v>19.981759999999994</v>
      </c>
      <c r="I48" s="19">
        <f t="shared" si="19"/>
        <v>0.7782399999999825</v>
      </c>
      <c r="J48" s="19">
        <f t="shared" si="20"/>
        <v>19.543999999999986</v>
      </c>
      <c r="K48" s="30">
        <f t="shared" si="21"/>
        <v>2.2800000000000688E-2</v>
      </c>
      <c r="L48" s="30">
        <f t="shared" si="16"/>
        <v>2.2800000000000688E-2</v>
      </c>
    </row>
    <row r="49" spans="3:12" x14ac:dyDescent="0.25">
      <c r="C49" s="15" t="s">
        <v>13</v>
      </c>
      <c r="D49" s="15">
        <v>2022</v>
      </c>
      <c r="E49" s="23">
        <v>20</v>
      </c>
      <c r="F49" s="19">
        <f t="shared" ref="F49:G49" si="24">($N$43)*E49+($N$44)*F48</f>
        <v>19.957439999999998</v>
      </c>
      <c r="G49" s="19">
        <f t="shared" si="24"/>
        <v>19.88448</v>
      </c>
      <c r="H49" s="19">
        <f t="shared" si="18"/>
        <v>20.030399999999997</v>
      </c>
      <c r="I49" s="19">
        <f t="shared" si="19"/>
        <v>0.29183999999999344</v>
      </c>
      <c r="J49" s="19">
        <f t="shared" si="20"/>
        <v>20.759999999999977</v>
      </c>
      <c r="K49" s="30">
        <f t="shared" si="21"/>
        <v>-3.7999999999998833E-2</v>
      </c>
      <c r="L49" s="30">
        <f t="shared" si="16"/>
        <v>3.7999999999998833E-2</v>
      </c>
    </row>
    <row r="50" spans="3:12" x14ac:dyDescent="0.25">
      <c r="C50" s="15" t="s">
        <v>2</v>
      </c>
      <c r="D50" s="15">
        <v>2022</v>
      </c>
      <c r="E50" s="23">
        <v>22</v>
      </c>
      <c r="F50" s="19">
        <f t="shared" ref="F50:G50" si="25">($N$43)*E50+($N$44)*F49</f>
        <v>21.591488000000002</v>
      </c>
      <c r="G50" s="19">
        <f t="shared" si="25"/>
        <v>21.250086400000001</v>
      </c>
      <c r="H50" s="19">
        <f t="shared" si="18"/>
        <v>21.932889600000003</v>
      </c>
      <c r="I50" s="19">
        <f t="shared" si="19"/>
        <v>1.3656064000000043</v>
      </c>
      <c r="J50" s="19">
        <f t="shared" si="20"/>
        <v>20.32223999999999</v>
      </c>
      <c r="K50" s="30">
        <f t="shared" si="21"/>
        <v>7.6261818181818639E-2</v>
      </c>
      <c r="L50" s="30">
        <f t="shared" si="16"/>
        <v>7.6261818181818639E-2</v>
      </c>
    </row>
    <row r="51" spans="3:12" x14ac:dyDescent="0.25">
      <c r="C51" s="15" t="s">
        <v>4</v>
      </c>
      <c r="D51" s="15">
        <v>2022</v>
      </c>
      <c r="E51" s="23">
        <v>18</v>
      </c>
      <c r="F51" s="19">
        <f t="shared" ref="F51:G51" si="26">($N$43)*E51+($N$44)*F50</f>
        <v>18.7182976</v>
      </c>
      <c r="G51" s="19">
        <f t="shared" si="26"/>
        <v>19.22465536</v>
      </c>
      <c r="H51" s="19">
        <f t="shared" si="18"/>
        <v>18.211939839999999</v>
      </c>
      <c r="I51" s="19">
        <f t="shared" si="19"/>
        <v>-2.0254310400000008</v>
      </c>
      <c r="J51" s="19">
        <f t="shared" si="20"/>
        <v>23.298496000000007</v>
      </c>
      <c r="K51" s="30">
        <f t="shared" si="21"/>
        <v>-0.29436088888888928</v>
      </c>
      <c r="L51" s="30">
        <f t="shared" si="16"/>
        <v>0.29436088888888928</v>
      </c>
    </row>
    <row r="52" spans="3:12" x14ac:dyDescent="0.25">
      <c r="C52" s="15" t="s">
        <v>3</v>
      </c>
      <c r="D52" s="15">
        <v>2022</v>
      </c>
      <c r="E52" s="23">
        <v>15</v>
      </c>
      <c r="F52" s="19">
        <f t="shared" ref="F52:G52" si="27">($N$43)*E52+($N$44)*F51</f>
        <v>15.74365952</v>
      </c>
      <c r="G52" s="19">
        <f t="shared" si="27"/>
        <v>16.439858688000001</v>
      </c>
      <c r="H52" s="19">
        <f t="shared" si="18"/>
        <v>15.047460351999998</v>
      </c>
      <c r="I52" s="19">
        <f t="shared" si="19"/>
        <v>-2.7847966720000059</v>
      </c>
      <c r="J52" s="19">
        <f t="shared" si="20"/>
        <v>16.186508799999999</v>
      </c>
      <c r="K52" s="30">
        <f t="shared" si="21"/>
        <v>-7.910058666666657E-2</v>
      </c>
      <c r="L52" s="30">
        <f t="shared" si="16"/>
        <v>7.910058666666657E-2</v>
      </c>
    </row>
    <row r="53" spans="3:12" x14ac:dyDescent="0.25">
      <c r="C53" s="15" t="s">
        <v>5</v>
      </c>
      <c r="D53" s="15">
        <v>2022</v>
      </c>
      <c r="E53" s="23">
        <v>13</v>
      </c>
      <c r="F53" s="19">
        <f t="shared" ref="F53:G53" si="28">($N$43)*E53+($N$44)*F52</f>
        <v>13.548731904</v>
      </c>
      <c r="G53" s="19">
        <f t="shared" si="28"/>
        <v>14.126957260800001</v>
      </c>
      <c r="H53" s="19">
        <f t="shared" si="18"/>
        <v>12.970506547199999</v>
      </c>
      <c r="I53" s="19">
        <f t="shared" si="19"/>
        <v>-2.3129014272000035</v>
      </c>
      <c r="J53" s="19">
        <f t="shared" si="20"/>
        <v>12.262663679999992</v>
      </c>
      <c r="K53" s="30">
        <f t="shared" si="21"/>
        <v>5.6718178461539065E-2</v>
      </c>
      <c r="L53" s="30">
        <f t="shared" si="16"/>
        <v>5.6718178461539065E-2</v>
      </c>
    </row>
    <row r="54" spans="3:12" x14ac:dyDescent="0.25">
      <c r="C54" s="15" t="s">
        <v>6</v>
      </c>
      <c r="D54" s="15">
        <v>2022</v>
      </c>
      <c r="E54" s="23">
        <v>13</v>
      </c>
      <c r="F54" s="19">
        <f t="shared" ref="F54:G54" si="29">($N$43)*E54+($N$44)*F53</f>
        <v>13.109746380800001</v>
      </c>
      <c r="G54" s="19">
        <f t="shared" si="29"/>
        <v>13.313188556800002</v>
      </c>
      <c r="H54" s="19">
        <f t="shared" si="18"/>
        <v>12.9063042048</v>
      </c>
      <c r="I54" s="19">
        <f t="shared" si="19"/>
        <v>-0.81376870400000456</v>
      </c>
      <c r="J54" s="19">
        <f t="shared" si="20"/>
        <v>10.657605119999996</v>
      </c>
      <c r="K54" s="30">
        <f t="shared" si="21"/>
        <v>0.18018422153846186</v>
      </c>
      <c r="L54" s="30">
        <f t="shared" si="16"/>
        <v>0.18018422153846186</v>
      </c>
    </row>
    <row r="55" spans="3:12" x14ac:dyDescent="0.25">
      <c r="C55" s="15" t="s">
        <v>7</v>
      </c>
      <c r="D55" s="15">
        <v>2022</v>
      </c>
      <c r="E55" s="23">
        <v>12</v>
      </c>
      <c r="F55" s="19">
        <f t="shared" ref="F55:G55" si="30">($N$43)*E55+($N$44)*F54</f>
        <v>12.221949276160002</v>
      </c>
      <c r="G55" s="19">
        <f t="shared" si="30"/>
        <v>12.440197132288002</v>
      </c>
      <c r="H55" s="19">
        <f t="shared" si="18"/>
        <v>12.003701420032002</v>
      </c>
      <c r="I55" s="19">
        <f t="shared" si="19"/>
        <v>-0.8729914245120014</v>
      </c>
      <c r="J55" s="19">
        <f t="shared" si="20"/>
        <v>12.092535500799995</v>
      </c>
      <c r="K55" s="30">
        <f t="shared" si="21"/>
        <v>-7.7112917333329216E-3</v>
      </c>
      <c r="L55" s="30">
        <f t="shared" si="16"/>
        <v>7.7112917333329216E-3</v>
      </c>
    </row>
    <row r="56" spans="3:12" x14ac:dyDescent="0.25">
      <c r="C56" s="15" t="s">
        <v>8</v>
      </c>
      <c r="D56" s="15">
        <v>2022</v>
      </c>
      <c r="E56" s="23">
        <v>11</v>
      </c>
      <c r="F56" s="19">
        <f t="shared" ref="F56:G56" si="31">($N$43)*E56+($N$44)*F55</f>
        <v>11.244389855232001</v>
      </c>
      <c r="G56" s="19">
        <f t="shared" si="31"/>
        <v>11.483551310643202</v>
      </c>
      <c r="H56" s="19">
        <f t="shared" si="18"/>
        <v>11.005228399820799</v>
      </c>
      <c r="I56" s="19">
        <f t="shared" si="19"/>
        <v>-0.95664582164480549</v>
      </c>
      <c r="J56" s="19">
        <f t="shared" si="20"/>
        <v>11.13070999552</v>
      </c>
      <c r="K56" s="30">
        <f t="shared" si="21"/>
        <v>-1.1882726865454562E-2</v>
      </c>
      <c r="L56" s="30">
        <f t="shared" si="16"/>
        <v>1.1882726865454562E-2</v>
      </c>
    </row>
    <row r="57" spans="3:12" x14ac:dyDescent="0.25">
      <c r="C57" s="15" t="s">
        <v>9</v>
      </c>
      <c r="D57" s="15">
        <v>2023</v>
      </c>
      <c r="E57" s="23">
        <v>10</v>
      </c>
      <c r="F57" s="19">
        <f t="shared" ref="F57:G57" si="32">($N$43)*E57+($N$44)*F56</f>
        <v>10.248877971046401</v>
      </c>
      <c r="G57" s="19">
        <f t="shared" si="32"/>
        <v>10.495812638965763</v>
      </c>
      <c r="H57" s="19">
        <f t="shared" si="18"/>
        <v>10.001943303127039</v>
      </c>
      <c r="I57" s="19">
        <f t="shared" si="19"/>
        <v>-0.98773867167744811</v>
      </c>
      <c r="J57" s="19">
        <f t="shared" si="20"/>
        <v>10.048582578175994</v>
      </c>
      <c r="K57" s="30">
        <f t="shared" si="21"/>
        <v>-4.858257817599387E-3</v>
      </c>
      <c r="L57" s="30">
        <f t="shared" si="16"/>
        <v>4.858257817599387E-3</v>
      </c>
    </row>
    <row r="58" spans="3:12" x14ac:dyDescent="0.25">
      <c r="C58" s="15" t="s">
        <v>10</v>
      </c>
      <c r="D58" s="15">
        <v>2023</v>
      </c>
      <c r="E58" s="23">
        <v>12</v>
      </c>
      <c r="F58" s="19">
        <f t="shared" ref="F58:G58" si="33">($N$43)*E58+($N$44)*F57</f>
        <v>11.649775594209281</v>
      </c>
      <c r="G58" s="19">
        <f t="shared" si="33"/>
        <v>11.418983003160578</v>
      </c>
      <c r="H58" s="19">
        <f t="shared" si="18"/>
        <v>11.880568185257983</v>
      </c>
      <c r="I58" s="19">
        <f t="shared" si="19"/>
        <v>0.92317036419481013</v>
      </c>
      <c r="J58" s="19">
        <f t="shared" si="20"/>
        <v>9.0142046314495907</v>
      </c>
      <c r="K58" s="30">
        <f t="shared" si="21"/>
        <v>0.24881628071253412</v>
      </c>
      <c r="L58" s="30">
        <f t="shared" si="16"/>
        <v>0.24881628071253412</v>
      </c>
    </row>
    <row r="59" spans="3:12" x14ac:dyDescent="0.25">
      <c r="C59" s="15" t="s">
        <v>11</v>
      </c>
      <c r="D59" s="15">
        <v>2023</v>
      </c>
      <c r="E59" s="23">
        <v>14</v>
      </c>
      <c r="F59" s="19">
        <f t="shared" ref="F59:G59" si="34">($N$43)*E59+($N$44)*F58</f>
        <v>13.529955118841858</v>
      </c>
      <c r="G59" s="19">
        <f t="shared" si="34"/>
        <v>13.107760695705602</v>
      </c>
      <c r="H59" s="19">
        <f t="shared" si="18"/>
        <v>13.952149541978114</v>
      </c>
      <c r="I59" s="19">
        <f t="shared" si="19"/>
        <v>1.688777692545024</v>
      </c>
      <c r="J59" s="19">
        <f t="shared" si="20"/>
        <v>12.803738549452794</v>
      </c>
      <c r="K59" s="30">
        <f t="shared" si="21"/>
        <v>8.5447246467657598E-2</v>
      </c>
      <c r="L59" s="30">
        <f t="shared" si="16"/>
        <v>8.5447246467657598E-2</v>
      </c>
    </row>
    <row r="60" spans="3:12" x14ac:dyDescent="0.25">
      <c r="C60" s="15" t="s">
        <v>12</v>
      </c>
      <c r="D60" s="15">
        <v>2023</v>
      </c>
      <c r="E60" s="23">
        <v>18</v>
      </c>
      <c r="F60" s="19">
        <f t="shared" ref="F60:G60" si="35">($N$43)*E60+($N$44)*F59</f>
        <v>17.105991023768372</v>
      </c>
      <c r="G60" s="19">
        <f t="shared" si="35"/>
        <v>16.306344958155819</v>
      </c>
      <c r="H60" s="19">
        <f t="shared" si="18"/>
        <v>17.905637089380924</v>
      </c>
      <c r="I60" s="19">
        <f t="shared" si="19"/>
        <v>3.1985842624502112</v>
      </c>
      <c r="J60" s="19">
        <f t="shared" si="20"/>
        <v>15.640927234523138</v>
      </c>
      <c r="K60" s="30">
        <f t="shared" si="21"/>
        <v>0.13105959808204787</v>
      </c>
      <c r="L60" s="30">
        <f t="shared" si="16"/>
        <v>0.13105959808204787</v>
      </c>
    </row>
    <row r="61" spans="3:12" x14ac:dyDescent="0.25">
      <c r="C61" s="15" t="s">
        <v>13</v>
      </c>
      <c r="D61" s="15">
        <v>2023</v>
      </c>
      <c r="E61" s="23">
        <v>20</v>
      </c>
      <c r="F61" s="19">
        <f t="shared" ref="F61:G61" si="36">($N$43)*E61+($N$44)*F60</f>
        <v>19.421198204753676</v>
      </c>
      <c r="G61" s="19">
        <f t="shared" si="36"/>
        <v>18.798227555434103</v>
      </c>
      <c r="H61" s="19">
        <f t="shared" si="18"/>
        <v>20.044168854073249</v>
      </c>
      <c r="I61" s="19">
        <f t="shared" si="19"/>
        <v>2.4918825972782912</v>
      </c>
      <c r="J61" s="19">
        <f t="shared" si="20"/>
        <v>21.104221351831136</v>
      </c>
      <c r="K61" s="30">
        <f t="shared" si="21"/>
        <v>-5.5211067591556785E-2</v>
      </c>
      <c r="L61" s="30">
        <f t="shared" si="16"/>
        <v>5.5211067591556785E-2</v>
      </c>
    </row>
    <row r="62" spans="3:12" x14ac:dyDescent="0.25">
      <c r="C62" s="15" t="s">
        <v>2</v>
      </c>
      <c r="D62" s="15">
        <v>2023</v>
      </c>
      <c r="E62" s="23">
        <v>22</v>
      </c>
      <c r="F62" s="19">
        <f t="shared" ref="F62:G62" si="37">($N$43)*E62+($N$44)*F61</f>
        <v>21.484239640950737</v>
      </c>
      <c r="G62" s="19">
        <f t="shared" si="37"/>
        <v>20.94703722384741</v>
      </c>
      <c r="H62" s="19">
        <f t="shared" si="18"/>
        <v>22.021442058054063</v>
      </c>
      <c r="I62" s="19">
        <f t="shared" si="19"/>
        <v>2.1488096684133069</v>
      </c>
      <c r="J62" s="19">
        <f t="shared" si="20"/>
        <v>22.53605145135154</v>
      </c>
      <c r="K62" s="30">
        <f t="shared" si="21"/>
        <v>-2.4365975061433624E-2</v>
      </c>
      <c r="L62" s="30">
        <f t="shared" si="16"/>
        <v>2.4365975061433624E-2</v>
      </c>
    </row>
    <row r="63" spans="3:12" x14ac:dyDescent="0.25">
      <c r="C63" s="15" t="s">
        <v>4</v>
      </c>
      <c r="D63" s="15">
        <v>2023</v>
      </c>
      <c r="E63" s="23">
        <v>20</v>
      </c>
      <c r="F63" s="19">
        <f t="shared" ref="F63:G63" si="38">($N$43)*E63+($N$44)*F62</f>
        <v>20.296847928190147</v>
      </c>
      <c r="G63" s="19">
        <f t="shared" si="38"/>
        <v>20.426885787321602</v>
      </c>
      <c r="H63" s="19">
        <f t="shared" si="18"/>
        <v>20.166810069058691</v>
      </c>
      <c r="I63" s="19">
        <f t="shared" si="19"/>
        <v>-0.52015143652582196</v>
      </c>
      <c r="J63" s="19">
        <f t="shared" si="20"/>
        <v>24.17025172646737</v>
      </c>
      <c r="K63" s="30">
        <f t="shared" si="21"/>
        <v>-0.2085125863233685</v>
      </c>
      <c r="L63" s="30">
        <f t="shared" si="16"/>
        <v>0.2085125863233685</v>
      </c>
    </row>
    <row r="64" spans="3:12" x14ac:dyDescent="0.25">
      <c r="C64" s="15" t="s">
        <v>3</v>
      </c>
      <c r="D64" s="15">
        <v>2023</v>
      </c>
      <c r="E64" s="23">
        <v>19</v>
      </c>
      <c r="F64" s="19">
        <f t="shared" ref="F64:G64" si="39">($N$43)*E64+($N$44)*F63</f>
        <v>19.25936958563803</v>
      </c>
      <c r="G64" s="19">
        <f t="shared" si="39"/>
        <v>19.492872825974747</v>
      </c>
      <c r="H64" s="19">
        <f t="shared" si="18"/>
        <v>19.025866345301313</v>
      </c>
      <c r="I64" s="19">
        <f t="shared" si="19"/>
        <v>-0.93401296134686618</v>
      </c>
      <c r="J64" s="19">
        <f t="shared" si="20"/>
        <v>19.646658632532869</v>
      </c>
      <c r="K64" s="30">
        <f t="shared" si="21"/>
        <v>-3.4034664870151006E-2</v>
      </c>
      <c r="L64" s="30">
        <f t="shared" si="16"/>
        <v>3.4034664870151006E-2</v>
      </c>
    </row>
    <row r="65" spans="3:12" x14ac:dyDescent="0.25">
      <c r="C65" s="15" t="s">
        <v>5</v>
      </c>
      <c r="D65" s="15">
        <v>2023</v>
      </c>
      <c r="E65" s="23">
        <v>19</v>
      </c>
      <c r="F65" s="19">
        <f t="shared" ref="F65:G65" si="40">($N$43)*E65+($N$44)*F64</f>
        <v>19.051873917127608</v>
      </c>
      <c r="G65" s="19">
        <f t="shared" si="40"/>
        <v>19.140073698897037</v>
      </c>
      <c r="H65" s="19">
        <f t="shared" si="18"/>
        <v>18.963674135358179</v>
      </c>
      <c r="I65" s="19">
        <f t="shared" si="19"/>
        <v>-0.35279912707771643</v>
      </c>
      <c r="J65" s="19">
        <f t="shared" si="20"/>
        <v>18.091853383954447</v>
      </c>
      <c r="K65" s="30">
        <f t="shared" si="21"/>
        <v>4.7797190318186987E-2</v>
      </c>
      <c r="L65" s="30">
        <f t="shared" si="16"/>
        <v>4.7797190318186987E-2</v>
      </c>
    </row>
    <row r="66" spans="3:12" x14ac:dyDescent="0.25">
      <c r="C66" s="15" t="s">
        <v>6</v>
      </c>
      <c r="D66" s="15">
        <v>2023</v>
      </c>
      <c r="E66" s="23">
        <v>18</v>
      </c>
      <c r="F66" s="19">
        <f t="shared" ref="F66:G66" si="41">($N$43)*E66+($N$44)*F65</f>
        <v>18.210374783425522</v>
      </c>
      <c r="G66" s="19">
        <f t="shared" si="41"/>
        <v>18.396314566519827</v>
      </c>
      <c r="H66" s="19">
        <f t="shared" si="18"/>
        <v>18.024435000331216</v>
      </c>
      <c r="I66" s="19">
        <f t="shared" si="19"/>
        <v>-0.74375913237722102</v>
      </c>
      <c r="J66" s="19">
        <f t="shared" si="20"/>
        <v>18.610875008280463</v>
      </c>
      <c r="K66" s="30">
        <f t="shared" si="21"/>
        <v>-3.39375004600257E-2</v>
      </c>
      <c r="L66" s="30">
        <f t="shared" si="16"/>
        <v>3.39375004600257E-2</v>
      </c>
    </row>
    <row r="67" spans="3:12" x14ac:dyDescent="0.25">
      <c r="C67" s="15" t="s">
        <v>7</v>
      </c>
      <c r="D67" s="15">
        <v>2023</v>
      </c>
      <c r="E67" s="23">
        <v>18</v>
      </c>
      <c r="F67" s="19">
        <f t="shared" ref="F67:G67" si="42">($N$43)*E67+($N$44)*F66</f>
        <v>18.042074956685106</v>
      </c>
      <c r="G67" s="19">
        <f t="shared" si="42"/>
        <v>18.11292287865205</v>
      </c>
      <c r="H67" s="19">
        <f t="shared" si="18"/>
        <v>17.971227034718162</v>
      </c>
      <c r="I67" s="19">
        <f t="shared" si="19"/>
        <v>-0.28339168786777691</v>
      </c>
      <c r="J67" s="19">
        <f t="shared" si="20"/>
        <v>17.280675867953995</v>
      </c>
      <c r="K67" s="30">
        <f t="shared" si="21"/>
        <v>3.9962451780333592E-2</v>
      </c>
      <c r="L67" s="30">
        <f t="shared" si="16"/>
        <v>3.9962451780333592E-2</v>
      </c>
    </row>
    <row r="68" spans="3:12" x14ac:dyDescent="0.25">
      <c r="C68" s="15" t="s">
        <v>8</v>
      </c>
      <c r="D68" s="15">
        <v>2023</v>
      </c>
      <c r="E68" s="23">
        <v>16</v>
      </c>
      <c r="F68" s="19">
        <f t="shared" ref="F68:G68" si="43">($N$43)*E68+($N$44)*F67</f>
        <v>16.408414991337022</v>
      </c>
      <c r="G68" s="19">
        <f t="shared" si="43"/>
        <v>16.74931656880003</v>
      </c>
      <c r="H68" s="19">
        <f t="shared" si="18"/>
        <v>16.067513413874014</v>
      </c>
      <c r="I68" s="19">
        <f t="shared" si="19"/>
        <v>-1.363606309852031</v>
      </c>
      <c r="J68" s="19">
        <f t="shared" si="20"/>
        <v>17.687835346850385</v>
      </c>
      <c r="K68" s="30">
        <f t="shared" si="21"/>
        <v>-0.10548970917814904</v>
      </c>
      <c r="L68" s="30">
        <f t="shared" si="16"/>
        <v>0.10548970917814904</v>
      </c>
    </row>
    <row r="69" spans="3:12" x14ac:dyDescent="0.25">
      <c r="C69" s="15" t="s">
        <v>9</v>
      </c>
      <c r="D69" s="15">
        <v>2024</v>
      </c>
      <c r="E69" s="23">
        <v>18</v>
      </c>
      <c r="F69" s="19">
        <f t="shared" ref="F69:G69" si="44">($N$43)*E69+($N$44)*F68</f>
        <v>17.681682998267405</v>
      </c>
      <c r="G69" s="19">
        <f t="shared" si="44"/>
        <v>17.495209712373931</v>
      </c>
      <c r="H69" s="19">
        <f t="shared" si="18"/>
        <v>17.868156284160879</v>
      </c>
      <c r="I69" s="19">
        <f t="shared" si="19"/>
        <v>0.74589314357389469</v>
      </c>
      <c r="J69" s="19">
        <f t="shared" si="20"/>
        <v>14.703907104021983</v>
      </c>
      <c r="K69" s="30">
        <f t="shared" si="21"/>
        <v>0.18311627199877872</v>
      </c>
      <c r="L69" s="30">
        <f t="shared" si="16"/>
        <v>0.18311627199877872</v>
      </c>
    </row>
    <row r="70" spans="3:12" x14ac:dyDescent="0.25">
      <c r="C70" s="15" t="s">
        <v>10</v>
      </c>
      <c r="D70" s="15">
        <v>2024</v>
      </c>
      <c r="E70" s="23">
        <v>20</v>
      </c>
      <c r="F70" s="19">
        <f t="shared" ref="F70:G70" si="45">($N$43)*E70+($N$44)*F69</f>
        <v>19.536336599653481</v>
      </c>
      <c r="G70" s="19">
        <f t="shared" si="45"/>
        <v>19.128111222197571</v>
      </c>
      <c r="H70" s="19">
        <f t="shared" si="18"/>
        <v>19.944561977109391</v>
      </c>
      <c r="I70" s="19">
        <f t="shared" si="19"/>
        <v>1.6329015098236397</v>
      </c>
      <c r="J70" s="19">
        <f t="shared" si="20"/>
        <v>18.614049427734773</v>
      </c>
      <c r="K70" s="30">
        <f t="shared" si="21"/>
        <v>6.9297528613261328E-2</v>
      </c>
      <c r="L70" s="30">
        <f t="shared" si="16"/>
        <v>6.9297528613261328E-2</v>
      </c>
    </row>
    <row r="71" spans="3:12" x14ac:dyDescent="0.25">
      <c r="C71" s="15" t="s">
        <v>11</v>
      </c>
      <c r="D71" s="15">
        <v>2024</v>
      </c>
      <c r="E71" s="23">
        <v>22</v>
      </c>
      <c r="F71" s="19">
        <f t="shared" ref="F71:G71" si="46">($N$43)*E71+($N$44)*F70</f>
        <v>21.507267319930698</v>
      </c>
      <c r="G71" s="19">
        <f t="shared" si="46"/>
        <v>21.031436100384074</v>
      </c>
      <c r="H71" s="19">
        <f t="shared" si="18"/>
        <v>21.983098539477322</v>
      </c>
      <c r="I71" s="19">
        <f t="shared" si="19"/>
        <v>1.9033248781864955</v>
      </c>
      <c r="J71" s="19">
        <f t="shared" si="20"/>
        <v>21.577463486933031</v>
      </c>
      <c r="K71" s="30">
        <f t="shared" si="21"/>
        <v>1.9206205139407698E-2</v>
      </c>
      <c r="L71" s="30">
        <f t="shared" si="16"/>
        <v>1.9206205139407698E-2</v>
      </c>
    </row>
    <row r="72" spans="3:12" x14ac:dyDescent="0.25">
      <c r="C72" s="15" t="s">
        <v>12</v>
      </c>
      <c r="D72" s="15">
        <v>2024</v>
      </c>
      <c r="E72" s="23">
        <v>22</v>
      </c>
      <c r="F72" s="19">
        <f t="shared" ref="F72:G72" si="47">($N$43)*E72+($N$44)*F71</f>
        <v>21.90145346398614</v>
      </c>
      <c r="G72" s="19">
        <f t="shared" si="47"/>
        <v>21.727449991265729</v>
      </c>
      <c r="H72" s="19">
        <f t="shared" si="18"/>
        <v>22.075456936706551</v>
      </c>
      <c r="I72" s="19">
        <f t="shared" si="19"/>
        <v>0.69601389088164467</v>
      </c>
      <c r="J72" s="19">
        <f t="shared" si="20"/>
        <v>23.886423417663817</v>
      </c>
      <c r="K72" s="30">
        <f t="shared" si="21"/>
        <v>-8.5746518984718953E-2</v>
      </c>
      <c r="L72" s="30">
        <f t="shared" si="16"/>
        <v>8.5746518984718953E-2</v>
      </c>
    </row>
    <row r="73" spans="3:12" x14ac:dyDescent="0.25">
      <c r="C73" s="15" t="s">
        <v>13</v>
      </c>
      <c r="D73" s="15">
        <v>2024</v>
      </c>
      <c r="E73" s="23">
        <v>25</v>
      </c>
      <c r="F73" s="19">
        <f t="shared" ref="F73:G73" si="48">($N$43)*E73+($N$44)*F72</f>
        <v>24.380290692797228</v>
      </c>
      <c r="G73" s="19">
        <f t="shared" si="48"/>
        <v>23.849722552490931</v>
      </c>
      <c r="H73" s="19">
        <f t="shared" si="18"/>
        <v>24.910858833103525</v>
      </c>
      <c r="I73" s="19">
        <f t="shared" si="19"/>
        <v>2.1222725612251878</v>
      </c>
      <c r="J73" s="19">
        <f t="shared" si="20"/>
        <v>22.771470827588196</v>
      </c>
      <c r="K73" s="30">
        <f t="shared" si="21"/>
        <v>8.9141166896472154E-2</v>
      </c>
      <c r="L73" s="30">
        <f t="shared" si="16"/>
        <v>8.9141166896472154E-2</v>
      </c>
    </row>
    <row r="74" spans="3:12" x14ac:dyDescent="0.25">
      <c r="C74" s="15" t="s">
        <v>2</v>
      </c>
      <c r="D74" s="15">
        <v>2024</v>
      </c>
      <c r="E74" s="23">
        <v>26</v>
      </c>
      <c r="F74" s="19">
        <f t="shared" ref="F74:G74" si="49">($N$43)*E74+($N$44)*F73</f>
        <v>25.676058138559448</v>
      </c>
      <c r="G74" s="19">
        <f t="shared" si="49"/>
        <v>25.310791021345743</v>
      </c>
      <c r="H74" s="19">
        <f t="shared" si="18"/>
        <v>26.041325255773152</v>
      </c>
      <c r="I74" s="19">
        <f t="shared" si="19"/>
        <v>1.461068468854819</v>
      </c>
      <c r="J74" s="19">
        <f t="shared" si="20"/>
        <v>27.033131394328713</v>
      </c>
      <c r="K74" s="30">
        <f t="shared" si="21"/>
        <v>-3.9735822858796649E-2</v>
      </c>
      <c r="L74" s="30">
        <f t="shared" si="16"/>
        <v>3.9735822858796649E-2</v>
      </c>
    </row>
    <row r="75" spans="3:12" x14ac:dyDescent="0.25">
      <c r="C75" s="15" t="s">
        <v>4</v>
      </c>
      <c r="D75" s="15">
        <v>2024</v>
      </c>
      <c r="E75" s="23">
        <v>24</v>
      </c>
      <c r="F75" s="19">
        <f t="shared" ref="F75:G75" si="50">($N$43)*E75+($N$44)*F74</f>
        <v>24.335211627711892</v>
      </c>
      <c r="G75" s="19">
        <f t="shared" si="50"/>
        <v>24.530327506438663</v>
      </c>
      <c r="H75" s="19">
        <f t="shared" si="18"/>
        <v>24.140095748985122</v>
      </c>
      <c r="I75" s="19">
        <f t="shared" si="19"/>
        <v>-0.78046351490708332</v>
      </c>
      <c r="J75" s="19">
        <f t="shared" si="20"/>
        <v>27.502393724627971</v>
      </c>
      <c r="K75" s="30">
        <f t="shared" si="21"/>
        <v>-0.1459330718594988</v>
      </c>
      <c r="L75" s="30">
        <f t="shared" si="16"/>
        <v>0.1459330718594988</v>
      </c>
    </row>
    <row r="76" spans="3:12" x14ac:dyDescent="0.25">
      <c r="C76" s="15" t="s">
        <v>3</v>
      </c>
      <c r="D76" s="15">
        <v>2024</v>
      </c>
      <c r="E76" s="23">
        <v>20</v>
      </c>
      <c r="F76" s="19">
        <f t="shared" ref="F76:G76" si="51">($N$43)*E76+($N$44)*F75</f>
        <v>20.867042325542378</v>
      </c>
      <c r="G76" s="19">
        <f t="shared" si="51"/>
        <v>21.599699361721633</v>
      </c>
      <c r="H76" s="19">
        <f t="shared" si="18"/>
        <v>20.134385289363124</v>
      </c>
      <c r="I76" s="19">
        <f t="shared" si="19"/>
        <v>-2.9306281447170193</v>
      </c>
      <c r="J76" s="19">
        <f t="shared" si="20"/>
        <v>23.359632234078038</v>
      </c>
      <c r="K76" s="30">
        <f t="shared" si="21"/>
        <v>-0.16798161170390191</v>
      </c>
      <c r="L76" s="30">
        <f t="shared" si="16"/>
        <v>0.16798161170390191</v>
      </c>
    </row>
    <row r="77" spans="3:12" x14ac:dyDescent="0.25">
      <c r="C77" s="15" t="s">
        <v>5</v>
      </c>
      <c r="D77" s="15">
        <v>2024</v>
      </c>
      <c r="E77" s="23">
        <v>19</v>
      </c>
      <c r="F77" s="19">
        <f t="shared" ref="F77:G77" si="52">($N$43)*E77+($N$44)*F76</f>
        <v>19.373408465108476</v>
      </c>
      <c r="G77" s="19">
        <f t="shared" si="52"/>
        <v>19.818666644431108</v>
      </c>
      <c r="H77" s="19">
        <f t="shared" si="18"/>
        <v>18.928150285785843</v>
      </c>
      <c r="I77" s="19">
        <f t="shared" si="19"/>
        <v>-1.7810327172905289</v>
      </c>
      <c r="J77" s="19">
        <f t="shared" si="20"/>
        <v>17.203757144646104</v>
      </c>
      <c r="K77" s="30">
        <f t="shared" si="21"/>
        <v>9.4539097650205031E-2</v>
      </c>
      <c r="L77" s="30">
        <f t="shared" si="16"/>
        <v>9.4539097650205031E-2</v>
      </c>
    </row>
    <row r="78" spans="3:12" x14ac:dyDescent="0.25">
      <c r="C78" s="15" t="s">
        <v>6</v>
      </c>
      <c r="D78" s="15">
        <v>2024</v>
      </c>
      <c r="E78" s="23">
        <v>18</v>
      </c>
      <c r="F78" s="19">
        <f t="shared" ref="F78:G78" si="53">($N$43)*E78+($N$44)*F77</f>
        <v>18.274681693021694</v>
      </c>
      <c r="G78" s="19">
        <f t="shared" si="53"/>
        <v>18.583478683303579</v>
      </c>
      <c r="H78" s="19">
        <f t="shared" si="18"/>
        <v>17.96588470273981</v>
      </c>
      <c r="I78" s="19">
        <f t="shared" si="19"/>
        <v>-1.2351879611275365</v>
      </c>
      <c r="J78" s="19">
        <f t="shared" si="20"/>
        <v>17.147117568495315</v>
      </c>
      <c r="K78" s="30">
        <f t="shared" si="21"/>
        <v>4.7382357305815859E-2</v>
      </c>
      <c r="L78" s="30">
        <f t="shared" si="16"/>
        <v>4.7382357305815859E-2</v>
      </c>
    </row>
    <row r="79" spans="3:12" x14ac:dyDescent="0.25">
      <c r="C79" s="15" t="s">
        <v>7</v>
      </c>
      <c r="D79" s="15">
        <v>2024</v>
      </c>
      <c r="E79" s="23">
        <v>15</v>
      </c>
      <c r="F79" s="19">
        <f t="shared" ref="F79:G79" si="54">($N$43)*E79+($N$44)*F78</f>
        <v>15.654936338604339</v>
      </c>
      <c r="G79" s="19">
        <f t="shared" si="54"/>
        <v>16.240644807544186</v>
      </c>
      <c r="H79" s="19">
        <f t="shared" si="18"/>
        <v>15.069227869664491</v>
      </c>
      <c r="I79" s="19">
        <f t="shared" si="19"/>
        <v>-2.3428338757593892</v>
      </c>
      <c r="J79" s="19">
        <f t="shared" si="20"/>
        <v>16.730696741612274</v>
      </c>
      <c r="K79" s="30">
        <f t="shared" si="21"/>
        <v>-0.11537978277415159</v>
      </c>
      <c r="L79" s="30">
        <f t="shared" si="16"/>
        <v>0.11537978277415159</v>
      </c>
    </row>
    <row r="80" spans="3:12" x14ac:dyDescent="0.25">
      <c r="C80" s="21" t="s">
        <v>8</v>
      </c>
      <c r="D80" s="21">
        <v>2024</v>
      </c>
      <c r="E80" s="22"/>
      <c r="F80" s="8"/>
      <c r="G80" s="8"/>
      <c r="H80" s="8"/>
      <c r="I80" s="8"/>
      <c r="J80" s="8">
        <f t="shared" si="14"/>
        <v>12.726393993905102</v>
      </c>
      <c r="K80" s="32" t="s">
        <v>21</v>
      </c>
      <c r="L80" s="32">
        <f>100/36*SUM(L45:L79)</f>
        <v>8.6903696674805158</v>
      </c>
    </row>
    <row r="83" spans="3:14" x14ac:dyDescent="0.25">
      <c r="C83" s="18" t="s">
        <v>0</v>
      </c>
      <c r="D83" s="18" t="s">
        <v>1</v>
      </c>
      <c r="E83" s="18" t="s">
        <v>22</v>
      </c>
      <c r="F83" s="18" t="s">
        <v>14</v>
      </c>
      <c r="G83" s="18" t="s">
        <v>15</v>
      </c>
      <c r="H83" s="18" t="s">
        <v>16</v>
      </c>
      <c r="I83" s="18" t="s">
        <v>17</v>
      </c>
      <c r="J83" s="18" t="s">
        <v>18</v>
      </c>
      <c r="K83" s="31" t="s">
        <v>19</v>
      </c>
      <c r="L83" s="31" t="s">
        <v>20</v>
      </c>
      <c r="N83" s="11">
        <v>0.7</v>
      </c>
    </row>
    <row r="84" spans="3:14" x14ac:dyDescent="0.25">
      <c r="C84" s="15" t="s">
        <v>8</v>
      </c>
      <c r="D84" s="15">
        <v>2021</v>
      </c>
      <c r="E84" s="23">
        <v>15</v>
      </c>
      <c r="F84" s="19">
        <v>15</v>
      </c>
      <c r="G84" s="19">
        <v>15</v>
      </c>
      <c r="H84" s="19">
        <v>15</v>
      </c>
      <c r="I84" s="19">
        <v>0</v>
      </c>
      <c r="J84" s="19"/>
      <c r="K84" s="30"/>
      <c r="L84" s="30"/>
      <c r="N84" s="11">
        <v>0.3</v>
      </c>
    </row>
    <row r="85" spans="3:14" x14ac:dyDescent="0.25">
      <c r="C85" s="15" t="s">
        <v>9</v>
      </c>
      <c r="D85" s="15">
        <v>2022</v>
      </c>
      <c r="E85" s="23">
        <v>18</v>
      </c>
      <c r="F85" s="19">
        <f>($N$83)*E85+($N$84)*F84</f>
        <v>17.100000000000001</v>
      </c>
      <c r="G85" s="19">
        <f>($N$83)*F85+($N$84)*G84</f>
        <v>16.47</v>
      </c>
      <c r="H85" s="19">
        <f t="shared" ref="H85" si="55">2*(F85)-(G85)</f>
        <v>17.730000000000004</v>
      </c>
      <c r="I85" s="19">
        <f>$N$83/$N$84*(F85-G85)</f>
        <v>1.470000000000006</v>
      </c>
      <c r="J85" s="19">
        <f t="shared" ref="J85:J120" si="56">H84+I84</f>
        <v>15</v>
      </c>
      <c r="K85" s="30">
        <f t="shared" ref="K85:K119" si="57">(E85-J85)/E85</f>
        <v>0.16666666666666666</v>
      </c>
      <c r="L85" s="30">
        <f t="shared" ref="L85:L119" si="58">ABS(K85)</f>
        <v>0.16666666666666666</v>
      </c>
    </row>
    <row r="86" spans="3:14" x14ac:dyDescent="0.25">
      <c r="C86" s="15" t="s">
        <v>10</v>
      </c>
      <c r="D86" s="15">
        <v>2022</v>
      </c>
      <c r="E86" s="23">
        <v>19</v>
      </c>
      <c r="F86" s="19">
        <f t="shared" ref="F86:G86" si="59">($N$83)*E86+($N$84)*F85</f>
        <v>18.43</v>
      </c>
      <c r="G86" s="19">
        <f t="shared" si="59"/>
        <v>17.841999999999999</v>
      </c>
      <c r="H86" s="19">
        <f t="shared" ref="H86:H119" si="60">2*(F86)-(G86)</f>
        <v>19.018000000000001</v>
      </c>
      <c r="I86" s="19">
        <f t="shared" ref="I86:I119" si="61">$N$83/$N$84*(F86-G86)</f>
        <v>1.3720000000000023</v>
      </c>
      <c r="J86" s="19">
        <f t="shared" ref="J86:J119" si="62">H85+I85</f>
        <v>19.20000000000001</v>
      </c>
      <c r="K86" s="30">
        <f t="shared" si="57"/>
        <v>-1.0526315789474208E-2</v>
      </c>
      <c r="L86" s="30">
        <f t="shared" si="58"/>
        <v>1.0526315789474208E-2</v>
      </c>
      <c r="N86" t="s">
        <v>34</v>
      </c>
    </row>
    <row r="87" spans="3:14" x14ac:dyDescent="0.25">
      <c r="C87" s="15" t="s">
        <v>11</v>
      </c>
      <c r="D87" s="15">
        <v>2022</v>
      </c>
      <c r="E87" s="23">
        <v>19</v>
      </c>
      <c r="F87" s="19">
        <f t="shared" ref="F87:G87" si="63">($N$83)*E87+($N$84)*F86</f>
        <v>18.829000000000001</v>
      </c>
      <c r="G87" s="19">
        <f t="shared" si="63"/>
        <v>18.532899999999998</v>
      </c>
      <c r="H87" s="19">
        <f t="shared" si="60"/>
        <v>19.125100000000003</v>
      </c>
      <c r="I87" s="19">
        <f t="shared" si="61"/>
        <v>0.69090000000000629</v>
      </c>
      <c r="J87" s="19">
        <f t="shared" si="62"/>
        <v>20.390000000000004</v>
      </c>
      <c r="K87" s="30">
        <f t="shared" si="57"/>
        <v>-7.3157894736842324E-2</v>
      </c>
      <c r="L87" s="30">
        <f t="shared" si="58"/>
        <v>7.3157894736842324E-2</v>
      </c>
    </row>
    <row r="88" spans="3:14" x14ac:dyDescent="0.25">
      <c r="C88" s="15" t="s">
        <v>12</v>
      </c>
      <c r="D88" s="15">
        <v>2022</v>
      </c>
      <c r="E88" s="23">
        <v>20</v>
      </c>
      <c r="F88" s="19">
        <f t="shared" ref="F88:G88" si="64">($N$83)*E88+($N$84)*F87</f>
        <v>19.648699999999998</v>
      </c>
      <c r="G88" s="19">
        <f t="shared" si="64"/>
        <v>19.313959999999998</v>
      </c>
      <c r="H88" s="19">
        <f t="shared" si="60"/>
        <v>19.983439999999998</v>
      </c>
      <c r="I88" s="19">
        <f t="shared" si="61"/>
        <v>0.78106000000000009</v>
      </c>
      <c r="J88" s="19">
        <f t="shared" si="62"/>
        <v>19.81600000000001</v>
      </c>
      <c r="K88" s="30">
        <f t="shared" si="57"/>
        <v>9.1999999999995193E-3</v>
      </c>
      <c r="L88" s="30">
        <f t="shared" si="58"/>
        <v>9.1999999999995193E-3</v>
      </c>
    </row>
    <row r="89" spans="3:14" x14ac:dyDescent="0.25">
      <c r="C89" s="15" t="s">
        <v>13</v>
      </c>
      <c r="D89" s="15">
        <v>2022</v>
      </c>
      <c r="E89" s="23">
        <v>20</v>
      </c>
      <c r="F89" s="19">
        <f t="shared" ref="F89:G89" si="65">($N$83)*E89+($N$84)*F88</f>
        <v>19.89461</v>
      </c>
      <c r="G89" s="19">
        <f t="shared" si="65"/>
        <v>19.720414999999999</v>
      </c>
      <c r="H89" s="19">
        <f t="shared" si="60"/>
        <v>20.068805000000001</v>
      </c>
      <c r="I89" s="19">
        <f t="shared" si="61"/>
        <v>0.40645500000000234</v>
      </c>
      <c r="J89" s="19">
        <f t="shared" si="62"/>
        <v>20.764499999999998</v>
      </c>
      <c r="K89" s="30">
        <f t="shared" si="57"/>
        <v>-3.8224999999999912E-2</v>
      </c>
      <c r="L89" s="30">
        <f t="shared" si="58"/>
        <v>3.8224999999999912E-2</v>
      </c>
    </row>
    <row r="90" spans="3:14" x14ac:dyDescent="0.25">
      <c r="C90" s="15" t="s">
        <v>2</v>
      </c>
      <c r="D90" s="15">
        <v>2022</v>
      </c>
      <c r="E90" s="23">
        <v>22</v>
      </c>
      <c r="F90" s="19">
        <f t="shared" ref="F90:G90" si="66">($N$83)*E90+($N$84)*F89</f>
        <v>21.368382999999998</v>
      </c>
      <c r="G90" s="19">
        <f t="shared" si="66"/>
        <v>20.873992599999998</v>
      </c>
      <c r="H90" s="19">
        <f t="shared" si="60"/>
        <v>21.862773399999998</v>
      </c>
      <c r="I90" s="19">
        <f t="shared" si="61"/>
        <v>1.1535776000000009</v>
      </c>
      <c r="J90" s="19">
        <f t="shared" si="62"/>
        <v>20.475260000000002</v>
      </c>
      <c r="K90" s="30">
        <f t="shared" si="57"/>
        <v>6.9306363636363541E-2</v>
      </c>
      <c r="L90" s="30">
        <f t="shared" si="58"/>
        <v>6.9306363636363541E-2</v>
      </c>
    </row>
    <row r="91" spans="3:14" x14ac:dyDescent="0.25">
      <c r="C91" s="15" t="s">
        <v>4</v>
      </c>
      <c r="D91" s="15">
        <v>2022</v>
      </c>
      <c r="E91" s="23">
        <v>18</v>
      </c>
      <c r="F91" s="19">
        <f t="shared" ref="F91:G91" si="67">($N$83)*E91+($N$84)*F90</f>
        <v>19.010514899999997</v>
      </c>
      <c r="G91" s="19">
        <f t="shared" si="67"/>
        <v>19.569558209999997</v>
      </c>
      <c r="H91" s="19">
        <f t="shared" si="60"/>
        <v>18.451471589999997</v>
      </c>
      <c r="I91" s="19">
        <f t="shared" si="61"/>
        <v>-1.3044343899999997</v>
      </c>
      <c r="J91" s="19">
        <f t="shared" si="62"/>
        <v>23.016351</v>
      </c>
      <c r="K91" s="30">
        <f t="shared" si="57"/>
        <v>-0.27868616666666668</v>
      </c>
      <c r="L91" s="30">
        <f t="shared" si="58"/>
        <v>0.27868616666666668</v>
      </c>
    </row>
    <row r="92" spans="3:14" x14ac:dyDescent="0.25">
      <c r="C92" s="15" t="s">
        <v>3</v>
      </c>
      <c r="D92" s="15">
        <v>2022</v>
      </c>
      <c r="E92" s="23">
        <v>15</v>
      </c>
      <c r="F92" s="19">
        <f t="shared" ref="F92:G92" si="68">($N$83)*E92+($N$84)*F91</f>
        <v>16.203154469999998</v>
      </c>
      <c r="G92" s="19">
        <f t="shared" si="68"/>
        <v>17.213075591999996</v>
      </c>
      <c r="H92" s="19">
        <f t="shared" si="60"/>
        <v>15.193233348</v>
      </c>
      <c r="I92" s="19">
        <f t="shared" si="61"/>
        <v>-2.3564826179999954</v>
      </c>
      <c r="J92" s="19">
        <f t="shared" si="62"/>
        <v>17.147037199999996</v>
      </c>
      <c r="K92" s="30">
        <f t="shared" si="57"/>
        <v>-0.14313581333333308</v>
      </c>
      <c r="L92" s="30">
        <f t="shared" si="58"/>
        <v>0.14313581333333308</v>
      </c>
    </row>
    <row r="93" spans="3:14" x14ac:dyDescent="0.25">
      <c r="C93" s="15" t="s">
        <v>5</v>
      </c>
      <c r="D93" s="15">
        <v>2022</v>
      </c>
      <c r="E93" s="23">
        <v>13</v>
      </c>
      <c r="F93" s="19">
        <f t="shared" ref="F93:G93" si="69">($N$83)*E93+($N$84)*F92</f>
        <v>13.960946341</v>
      </c>
      <c r="G93" s="19">
        <f t="shared" si="69"/>
        <v>14.936585116299998</v>
      </c>
      <c r="H93" s="19">
        <f t="shared" si="60"/>
        <v>12.985307565700001</v>
      </c>
      <c r="I93" s="19">
        <f t="shared" si="61"/>
        <v>-2.2764904756999966</v>
      </c>
      <c r="J93" s="19">
        <f t="shared" si="62"/>
        <v>12.836750730000004</v>
      </c>
      <c r="K93" s="30">
        <f t="shared" si="57"/>
        <v>1.2557636153845855E-2</v>
      </c>
      <c r="L93" s="30">
        <f t="shared" si="58"/>
        <v>1.2557636153845855E-2</v>
      </c>
    </row>
    <row r="94" spans="3:14" x14ac:dyDescent="0.25">
      <c r="C94" s="15" t="s">
        <v>6</v>
      </c>
      <c r="D94" s="15">
        <v>2022</v>
      </c>
      <c r="E94" s="23">
        <v>13</v>
      </c>
      <c r="F94" s="19">
        <f t="shared" ref="F94:G94" si="70">($N$83)*E94+($N$84)*F93</f>
        <v>13.288283902299998</v>
      </c>
      <c r="G94" s="19">
        <f t="shared" si="70"/>
        <v>13.782774266499995</v>
      </c>
      <c r="H94" s="19">
        <f t="shared" si="60"/>
        <v>12.793793538100001</v>
      </c>
      <c r="I94" s="19">
        <f t="shared" si="61"/>
        <v>-1.1538108497999935</v>
      </c>
      <c r="J94" s="19">
        <f t="shared" si="62"/>
        <v>10.708817090000004</v>
      </c>
      <c r="K94" s="30">
        <f t="shared" si="57"/>
        <v>0.17624483923076895</v>
      </c>
      <c r="L94" s="30">
        <f t="shared" si="58"/>
        <v>0.17624483923076895</v>
      </c>
    </row>
    <row r="95" spans="3:14" x14ac:dyDescent="0.25">
      <c r="C95" s="15" t="s">
        <v>7</v>
      </c>
      <c r="D95" s="15">
        <v>2022</v>
      </c>
      <c r="E95" s="23">
        <v>12</v>
      </c>
      <c r="F95" s="19">
        <f t="shared" ref="F95:G95" si="71">($N$83)*E95+($N$84)*F94</f>
        <v>12.386485170689998</v>
      </c>
      <c r="G95" s="19">
        <f t="shared" si="71"/>
        <v>12.805371899432997</v>
      </c>
      <c r="H95" s="19">
        <f t="shared" si="60"/>
        <v>11.967598441946999</v>
      </c>
      <c r="I95" s="19">
        <f t="shared" si="61"/>
        <v>-0.97740236706699757</v>
      </c>
      <c r="J95" s="19">
        <f t="shared" si="62"/>
        <v>11.639982688300007</v>
      </c>
      <c r="K95" s="30">
        <f t="shared" si="57"/>
        <v>3.0001442641666081E-2</v>
      </c>
      <c r="L95" s="30">
        <f t="shared" si="58"/>
        <v>3.0001442641666081E-2</v>
      </c>
    </row>
    <row r="96" spans="3:14" x14ac:dyDescent="0.25">
      <c r="C96" s="15" t="s">
        <v>8</v>
      </c>
      <c r="D96" s="15">
        <v>2022</v>
      </c>
      <c r="E96" s="23">
        <v>11</v>
      </c>
      <c r="F96" s="19">
        <f t="shared" ref="F96:G96" si="72">($N$83)*E96+($N$84)*F95</f>
        <v>11.415945551206999</v>
      </c>
      <c r="G96" s="19">
        <f t="shared" si="72"/>
        <v>11.832773455674797</v>
      </c>
      <c r="H96" s="19">
        <f t="shared" si="60"/>
        <v>10.999117646739201</v>
      </c>
      <c r="I96" s="19">
        <f t="shared" si="61"/>
        <v>-0.97259844375819549</v>
      </c>
      <c r="J96" s="19">
        <f t="shared" si="62"/>
        <v>10.990196074880002</v>
      </c>
      <c r="K96" s="30">
        <f t="shared" si="57"/>
        <v>8.9126591999983361E-4</v>
      </c>
      <c r="L96" s="30">
        <f t="shared" si="58"/>
        <v>8.9126591999983361E-4</v>
      </c>
    </row>
    <row r="97" spans="3:12" x14ac:dyDescent="0.25">
      <c r="C97" s="15" t="s">
        <v>9</v>
      </c>
      <c r="D97" s="15">
        <v>2023</v>
      </c>
      <c r="E97" s="23">
        <v>10</v>
      </c>
      <c r="F97" s="19">
        <f t="shared" ref="F97:G97" si="73">($N$83)*E97+($N$84)*F96</f>
        <v>10.424783665362099</v>
      </c>
      <c r="G97" s="19">
        <f t="shared" si="73"/>
        <v>10.847180602455909</v>
      </c>
      <c r="H97" s="19">
        <f t="shared" si="60"/>
        <v>10.00238672826829</v>
      </c>
      <c r="I97" s="19">
        <f t="shared" si="61"/>
        <v>-0.98559285321888923</v>
      </c>
      <c r="J97" s="19">
        <f t="shared" si="62"/>
        <v>10.026519202981005</v>
      </c>
      <c r="K97" s="30">
        <f t="shared" si="57"/>
        <v>-2.6519202981004852E-3</v>
      </c>
      <c r="L97" s="30">
        <f t="shared" si="58"/>
        <v>2.6519202981004852E-3</v>
      </c>
    </row>
    <row r="98" spans="3:12" x14ac:dyDescent="0.25">
      <c r="C98" s="15" t="s">
        <v>10</v>
      </c>
      <c r="D98" s="15">
        <v>2023</v>
      </c>
      <c r="E98" s="23">
        <v>12</v>
      </c>
      <c r="F98" s="19">
        <f t="shared" ref="F98:G98" si="74">($N$83)*E98+($N$84)*F97</f>
        <v>11.527435099608628</v>
      </c>
      <c r="G98" s="19">
        <f t="shared" si="74"/>
        <v>11.323358750462813</v>
      </c>
      <c r="H98" s="19">
        <f t="shared" si="60"/>
        <v>11.731511448754443</v>
      </c>
      <c r="I98" s="19">
        <f t="shared" si="61"/>
        <v>0.47617814800690189</v>
      </c>
      <c r="J98" s="19">
        <f t="shared" si="62"/>
        <v>9.0167938750493999</v>
      </c>
      <c r="K98" s="30">
        <f t="shared" si="57"/>
        <v>0.24860051041255002</v>
      </c>
      <c r="L98" s="30">
        <f t="shared" si="58"/>
        <v>0.24860051041255002</v>
      </c>
    </row>
    <row r="99" spans="3:12" x14ac:dyDescent="0.25">
      <c r="C99" s="15" t="s">
        <v>11</v>
      </c>
      <c r="D99" s="15">
        <v>2023</v>
      </c>
      <c r="E99" s="23">
        <v>14</v>
      </c>
      <c r="F99" s="19">
        <f t="shared" ref="F99:G99" si="75">($N$83)*E99+($N$84)*F98</f>
        <v>13.258230529882587</v>
      </c>
      <c r="G99" s="19">
        <f t="shared" si="75"/>
        <v>12.677768996056654</v>
      </c>
      <c r="H99" s="19">
        <f t="shared" si="60"/>
        <v>13.838692063708519</v>
      </c>
      <c r="I99" s="19">
        <f t="shared" si="61"/>
        <v>1.3544102455938425</v>
      </c>
      <c r="J99" s="19">
        <f t="shared" si="62"/>
        <v>12.207689596761345</v>
      </c>
      <c r="K99" s="30">
        <f t="shared" si="57"/>
        <v>0.12802217165990395</v>
      </c>
      <c r="L99" s="30">
        <f t="shared" si="58"/>
        <v>0.12802217165990395</v>
      </c>
    </row>
    <row r="100" spans="3:12" x14ac:dyDescent="0.25">
      <c r="C100" s="15" t="s">
        <v>12</v>
      </c>
      <c r="D100" s="15">
        <v>2023</v>
      </c>
      <c r="E100" s="23">
        <v>18</v>
      </c>
      <c r="F100" s="19">
        <f t="shared" ref="F100:G100" si="76">($N$83)*E100+($N$84)*F99</f>
        <v>16.577469158964774</v>
      </c>
      <c r="G100" s="19">
        <f t="shared" si="76"/>
        <v>15.407559110092338</v>
      </c>
      <c r="H100" s="19">
        <f t="shared" si="60"/>
        <v>17.747379207837213</v>
      </c>
      <c r="I100" s="19">
        <f t="shared" si="61"/>
        <v>2.7297901140356853</v>
      </c>
      <c r="J100" s="19">
        <f t="shared" si="62"/>
        <v>15.193102309302361</v>
      </c>
      <c r="K100" s="30">
        <f t="shared" si="57"/>
        <v>0.15593876059431327</v>
      </c>
      <c r="L100" s="30">
        <f t="shared" si="58"/>
        <v>0.15593876059431327</v>
      </c>
    </row>
    <row r="101" spans="3:12" x14ac:dyDescent="0.25">
      <c r="C101" s="15" t="s">
        <v>13</v>
      </c>
      <c r="D101" s="15">
        <v>2023</v>
      </c>
      <c r="E101" s="23">
        <v>20</v>
      </c>
      <c r="F101" s="19">
        <f t="shared" ref="F101:G101" si="77">($N$83)*E101+($N$84)*F100</f>
        <v>18.973240747689431</v>
      </c>
      <c r="G101" s="19">
        <f t="shared" si="77"/>
        <v>17.903536256410302</v>
      </c>
      <c r="H101" s="19">
        <f t="shared" si="60"/>
        <v>20.04294523896856</v>
      </c>
      <c r="I101" s="19">
        <f t="shared" si="61"/>
        <v>2.4959771463179683</v>
      </c>
      <c r="J101" s="19">
        <f t="shared" si="62"/>
        <v>20.4771693218729</v>
      </c>
      <c r="K101" s="30">
        <f t="shared" si="57"/>
        <v>-2.3858466093644993E-2</v>
      </c>
      <c r="L101" s="30">
        <f t="shared" si="58"/>
        <v>2.3858466093644993E-2</v>
      </c>
    </row>
    <row r="102" spans="3:12" x14ac:dyDescent="0.25">
      <c r="C102" s="15" t="s">
        <v>2</v>
      </c>
      <c r="D102" s="15">
        <v>2023</v>
      </c>
      <c r="E102" s="23">
        <v>22</v>
      </c>
      <c r="F102" s="19">
        <f t="shared" ref="F102:G102" si="78">($N$83)*E102+($N$84)*F101</f>
        <v>21.091972224306829</v>
      </c>
      <c r="G102" s="19">
        <f t="shared" si="78"/>
        <v>20.135441433937871</v>
      </c>
      <c r="H102" s="19">
        <f t="shared" si="60"/>
        <v>22.048503014675788</v>
      </c>
      <c r="I102" s="19">
        <f t="shared" si="61"/>
        <v>2.2319051775275702</v>
      </c>
      <c r="J102" s="19">
        <f t="shared" si="62"/>
        <v>22.538922385286529</v>
      </c>
      <c r="K102" s="30">
        <f t="shared" si="57"/>
        <v>-2.4496472058478602E-2</v>
      </c>
      <c r="L102" s="30">
        <f t="shared" si="58"/>
        <v>2.4496472058478602E-2</v>
      </c>
    </row>
    <row r="103" spans="3:12" x14ac:dyDescent="0.25">
      <c r="C103" s="15" t="s">
        <v>4</v>
      </c>
      <c r="D103" s="15">
        <v>2023</v>
      </c>
      <c r="E103" s="23">
        <v>20</v>
      </c>
      <c r="F103" s="19">
        <f t="shared" ref="F103:G103" si="79">($N$83)*E103+($N$84)*F102</f>
        <v>20.327591667292047</v>
      </c>
      <c r="G103" s="19">
        <f t="shared" si="79"/>
        <v>20.269946597285795</v>
      </c>
      <c r="H103" s="19">
        <f t="shared" si="60"/>
        <v>20.3852367372983</v>
      </c>
      <c r="I103" s="19">
        <f t="shared" si="61"/>
        <v>0.13450516334792204</v>
      </c>
      <c r="J103" s="19">
        <f t="shared" si="62"/>
        <v>24.280408192203357</v>
      </c>
      <c r="K103" s="30">
        <f t="shared" si="57"/>
        <v>-0.21402040961016783</v>
      </c>
      <c r="L103" s="30">
        <f t="shared" si="58"/>
        <v>0.21402040961016783</v>
      </c>
    </row>
    <row r="104" spans="3:12" x14ac:dyDescent="0.25">
      <c r="C104" s="15" t="s">
        <v>3</v>
      </c>
      <c r="D104" s="15">
        <v>2023</v>
      </c>
      <c r="E104" s="23">
        <v>19</v>
      </c>
      <c r="F104" s="19">
        <f t="shared" ref="F104:G104" si="80">($N$83)*E104+($N$84)*F103</f>
        <v>19.398277500187614</v>
      </c>
      <c r="G104" s="19">
        <f t="shared" si="80"/>
        <v>19.65977822931707</v>
      </c>
      <c r="H104" s="19">
        <f t="shared" si="60"/>
        <v>19.136776771058159</v>
      </c>
      <c r="I104" s="19">
        <f t="shared" si="61"/>
        <v>-0.61016836796872909</v>
      </c>
      <c r="J104" s="19">
        <f t="shared" si="62"/>
        <v>20.519741900646221</v>
      </c>
      <c r="K104" s="30">
        <f t="shared" si="57"/>
        <v>-7.9986415823485285E-2</v>
      </c>
      <c r="L104" s="30">
        <f t="shared" si="58"/>
        <v>7.9986415823485285E-2</v>
      </c>
    </row>
    <row r="105" spans="3:12" x14ac:dyDescent="0.25">
      <c r="C105" s="15" t="s">
        <v>5</v>
      </c>
      <c r="D105" s="15">
        <v>2023</v>
      </c>
      <c r="E105" s="23">
        <v>19</v>
      </c>
      <c r="F105" s="19">
        <f t="shared" ref="F105:G105" si="81">($N$83)*E105+($N$84)*F104</f>
        <v>19.119483250056284</v>
      </c>
      <c r="G105" s="19">
        <f t="shared" si="81"/>
        <v>19.281571743834519</v>
      </c>
      <c r="H105" s="19">
        <f t="shared" si="60"/>
        <v>18.957394756278049</v>
      </c>
      <c r="I105" s="19">
        <f t="shared" si="61"/>
        <v>-0.37820648548254832</v>
      </c>
      <c r="J105" s="19">
        <f t="shared" si="62"/>
        <v>18.52660840308943</v>
      </c>
      <c r="K105" s="30">
        <f t="shared" si="57"/>
        <v>2.4915347205819484E-2</v>
      </c>
      <c r="L105" s="30">
        <f t="shared" si="58"/>
        <v>2.4915347205819484E-2</v>
      </c>
    </row>
    <row r="106" spans="3:12" x14ac:dyDescent="0.25">
      <c r="C106" s="15" t="s">
        <v>6</v>
      </c>
      <c r="D106" s="15">
        <v>2023</v>
      </c>
      <c r="E106" s="23">
        <v>18</v>
      </c>
      <c r="F106" s="19">
        <f t="shared" ref="F106:G106" si="82">($N$83)*E106+($N$84)*F105</f>
        <v>18.335844975016883</v>
      </c>
      <c r="G106" s="19">
        <f t="shared" si="82"/>
        <v>18.619563005662172</v>
      </c>
      <c r="H106" s="19">
        <f t="shared" si="60"/>
        <v>18.052126944371594</v>
      </c>
      <c r="I106" s="19">
        <f t="shared" si="61"/>
        <v>-0.66200873817234185</v>
      </c>
      <c r="J106" s="19">
        <f t="shared" si="62"/>
        <v>18.579188270795502</v>
      </c>
      <c r="K106" s="30">
        <f t="shared" si="57"/>
        <v>-3.2177126155305658E-2</v>
      </c>
      <c r="L106" s="30">
        <f t="shared" si="58"/>
        <v>3.2177126155305658E-2</v>
      </c>
    </row>
    <row r="107" spans="3:12" x14ac:dyDescent="0.25">
      <c r="C107" s="15" t="s">
        <v>7</v>
      </c>
      <c r="D107" s="15">
        <v>2023</v>
      </c>
      <c r="E107" s="23">
        <v>18</v>
      </c>
      <c r="F107" s="19">
        <f t="shared" ref="F107:G107" si="83">($N$83)*E107+($N$84)*F106</f>
        <v>18.100753492505063</v>
      </c>
      <c r="G107" s="19">
        <f t="shared" si="83"/>
        <v>18.256396346452195</v>
      </c>
      <c r="H107" s="19">
        <f t="shared" si="60"/>
        <v>17.945110638557932</v>
      </c>
      <c r="I107" s="19">
        <f t="shared" si="61"/>
        <v>-0.3631666592099746</v>
      </c>
      <c r="J107" s="19">
        <f t="shared" si="62"/>
        <v>17.390118206199251</v>
      </c>
      <c r="K107" s="30">
        <f t="shared" si="57"/>
        <v>3.38823218778194E-2</v>
      </c>
      <c r="L107" s="30">
        <f t="shared" si="58"/>
        <v>3.38823218778194E-2</v>
      </c>
    </row>
    <row r="108" spans="3:12" x14ac:dyDescent="0.25">
      <c r="C108" s="15" t="s">
        <v>8</v>
      </c>
      <c r="D108" s="15">
        <v>2023</v>
      </c>
      <c r="E108" s="23">
        <v>16</v>
      </c>
      <c r="F108" s="19">
        <f t="shared" ref="F108:G108" si="84">($N$83)*E108+($N$84)*F107</f>
        <v>16.630226047751517</v>
      </c>
      <c r="G108" s="19">
        <f t="shared" si="84"/>
        <v>17.11807713736172</v>
      </c>
      <c r="H108" s="19">
        <f t="shared" si="60"/>
        <v>16.142374958141314</v>
      </c>
      <c r="I108" s="19">
        <f t="shared" si="61"/>
        <v>-1.1383192090904735</v>
      </c>
      <c r="J108" s="19">
        <f t="shared" si="62"/>
        <v>17.581943979347958</v>
      </c>
      <c r="K108" s="30">
        <f t="shared" si="57"/>
        <v>-9.8871498709247385E-2</v>
      </c>
      <c r="L108" s="30">
        <f t="shared" si="58"/>
        <v>9.8871498709247385E-2</v>
      </c>
    </row>
    <row r="109" spans="3:12" x14ac:dyDescent="0.25">
      <c r="C109" s="15" t="s">
        <v>9</v>
      </c>
      <c r="D109" s="15">
        <v>2024</v>
      </c>
      <c r="E109" s="23">
        <v>18</v>
      </c>
      <c r="F109" s="19">
        <f t="shared" ref="F109:G109" si="85">($N$83)*E109+($N$84)*F108</f>
        <v>17.589067814325453</v>
      </c>
      <c r="G109" s="19">
        <f t="shared" si="85"/>
        <v>17.447770611236333</v>
      </c>
      <c r="H109" s="19">
        <f t="shared" si="60"/>
        <v>17.730365017414574</v>
      </c>
      <c r="I109" s="19">
        <f t="shared" si="61"/>
        <v>0.32969347387461434</v>
      </c>
      <c r="J109" s="19">
        <f t="shared" si="62"/>
        <v>15.00405574905084</v>
      </c>
      <c r="K109" s="30">
        <f t="shared" si="57"/>
        <v>0.16644134727495333</v>
      </c>
      <c r="L109" s="30">
        <f t="shared" si="58"/>
        <v>0.16644134727495333</v>
      </c>
    </row>
    <row r="110" spans="3:12" x14ac:dyDescent="0.25">
      <c r="C110" s="15" t="s">
        <v>10</v>
      </c>
      <c r="D110" s="15">
        <v>2024</v>
      </c>
      <c r="E110" s="23">
        <v>20</v>
      </c>
      <c r="F110" s="19">
        <f t="shared" ref="F110:G110" si="86">($N$83)*E110+($N$84)*F109</f>
        <v>19.276720344297637</v>
      </c>
      <c r="G110" s="19">
        <f t="shared" si="86"/>
        <v>18.728035424379243</v>
      </c>
      <c r="H110" s="19">
        <f t="shared" si="60"/>
        <v>19.82540526421603</v>
      </c>
      <c r="I110" s="19">
        <f t="shared" si="61"/>
        <v>1.2802648131429186</v>
      </c>
      <c r="J110" s="19">
        <f t="shared" si="62"/>
        <v>18.060058491289187</v>
      </c>
      <c r="K110" s="30">
        <f t="shared" si="57"/>
        <v>9.6997075435540661E-2</v>
      </c>
      <c r="L110" s="30">
        <f t="shared" si="58"/>
        <v>9.6997075435540661E-2</v>
      </c>
    </row>
    <row r="111" spans="3:12" x14ac:dyDescent="0.25">
      <c r="C111" s="15" t="s">
        <v>11</v>
      </c>
      <c r="D111" s="15">
        <v>2024</v>
      </c>
      <c r="E111" s="23">
        <v>22</v>
      </c>
      <c r="F111" s="19">
        <f t="shared" ref="F111:G111" si="87">($N$83)*E111+($N$84)*F110</f>
        <v>21.18301610328929</v>
      </c>
      <c r="G111" s="19">
        <f t="shared" si="87"/>
        <v>20.446521899616275</v>
      </c>
      <c r="H111" s="19">
        <f t="shared" si="60"/>
        <v>21.919510306962305</v>
      </c>
      <c r="I111" s="19">
        <f t="shared" si="61"/>
        <v>1.7184864752370348</v>
      </c>
      <c r="J111" s="19">
        <f t="shared" si="62"/>
        <v>21.105670077358948</v>
      </c>
      <c r="K111" s="30">
        <f t="shared" si="57"/>
        <v>4.0651360120047837E-2</v>
      </c>
      <c r="L111" s="30">
        <f t="shared" si="58"/>
        <v>4.0651360120047837E-2</v>
      </c>
    </row>
    <row r="112" spans="3:12" x14ac:dyDescent="0.25">
      <c r="C112" s="15" t="s">
        <v>12</v>
      </c>
      <c r="D112" s="15">
        <v>2024</v>
      </c>
      <c r="E112" s="23">
        <v>22</v>
      </c>
      <c r="F112" s="19">
        <f t="shared" ref="F112:G112" si="88">($N$83)*E112+($N$84)*F111</f>
        <v>21.754904830986785</v>
      </c>
      <c r="G112" s="19">
        <f t="shared" si="88"/>
        <v>21.362389951575633</v>
      </c>
      <c r="H112" s="19">
        <f t="shared" si="60"/>
        <v>22.147419710397937</v>
      </c>
      <c r="I112" s="19">
        <f t="shared" si="61"/>
        <v>0.91586805195935506</v>
      </c>
      <c r="J112" s="19">
        <f t="shared" si="62"/>
        <v>23.637996782199341</v>
      </c>
      <c r="K112" s="30">
        <f t="shared" si="57"/>
        <v>-7.4454399190879136E-2</v>
      </c>
      <c r="L112" s="30">
        <f t="shared" si="58"/>
        <v>7.4454399190879136E-2</v>
      </c>
    </row>
    <row r="113" spans="3:14" x14ac:dyDescent="0.25">
      <c r="C113" s="15" t="s">
        <v>13</v>
      </c>
      <c r="D113" s="15">
        <v>2024</v>
      </c>
      <c r="E113" s="23">
        <v>25</v>
      </c>
      <c r="F113" s="19">
        <f t="shared" ref="F113:G113" si="89">($N$83)*E113+($N$84)*F112</f>
        <v>24.026471449296036</v>
      </c>
      <c r="G113" s="19">
        <f t="shared" si="89"/>
        <v>23.227246999979915</v>
      </c>
      <c r="H113" s="19">
        <f t="shared" si="60"/>
        <v>24.825695898612157</v>
      </c>
      <c r="I113" s="19">
        <f t="shared" si="61"/>
        <v>1.8648570484042823</v>
      </c>
      <c r="J113" s="19">
        <f t="shared" si="62"/>
        <v>23.063287762357291</v>
      </c>
      <c r="K113" s="30">
        <f t="shared" si="57"/>
        <v>7.7468489505708366E-2</v>
      </c>
      <c r="L113" s="30">
        <f t="shared" si="58"/>
        <v>7.7468489505708366E-2</v>
      </c>
    </row>
    <row r="114" spans="3:14" x14ac:dyDescent="0.25">
      <c r="C114" s="15" t="s">
        <v>2</v>
      </c>
      <c r="D114" s="15">
        <v>2024</v>
      </c>
      <c r="E114" s="23">
        <v>26</v>
      </c>
      <c r="F114" s="19">
        <f t="shared" ref="F114:G114" si="90">($N$83)*E114+($N$84)*F113</f>
        <v>25.40794143478881</v>
      </c>
      <c r="G114" s="19">
        <f t="shared" si="90"/>
        <v>24.753733104346139</v>
      </c>
      <c r="H114" s="19">
        <f t="shared" si="60"/>
        <v>26.062149765231482</v>
      </c>
      <c r="I114" s="19">
        <f t="shared" si="61"/>
        <v>1.5264861043662328</v>
      </c>
      <c r="J114" s="19">
        <f t="shared" si="62"/>
        <v>26.690552947016439</v>
      </c>
      <c r="K114" s="30">
        <f t="shared" si="57"/>
        <v>-2.6559728731401496E-2</v>
      </c>
      <c r="L114" s="30">
        <f t="shared" si="58"/>
        <v>2.6559728731401496E-2</v>
      </c>
    </row>
    <row r="115" spans="3:14" x14ac:dyDescent="0.25">
      <c r="C115" s="15" t="s">
        <v>4</v>
      </c>
      <c r="D115" s="15">
        <v>2024</v>
      </c>
      <c r="E115" s="23">
        <v>24</v>
      </c>
      <c r="F115" s="19">
        <f t="shared" ref="F115:G115" si="91">($N$83)*E115+($N$84)*F114</f>
        <v>24.422382430436642</v>
      </c>
      <c r="G115" s="19">
        <f t="shared" si="91"/>
        <v>24.521787632609488</v>
      </c>
      <c r="H115" s="19">
        <f t="shared" si="60"/>
        <v>24.322977228263795</v>
      </c>
      <c r="I115" s="19">
        <f t="shared" si="61"/>
        <v>-0.23194547173664168</v>
      </c>
      <c r="J115" s="19">
        <f t="shared" si="62"/>
        <v>27.588635869597713</v>
      </c>
      <c r="K115" s="30">
        <f t="shared" si="57"/>
        <v>-0.14952649456657138</v>
      </c>
      <c r="L115" s="30">
        <f t="shared" si="58"/>
        <v>0.14952649456657138</v>
      </c>
    </row>
    <row r="116" spans="3:14" x14ac:dyDescent="0.25">
      <c r="C116" s="15" t="s">
        <v>3</v>
      </c>
      <c r="D116" s="15">
        <v>2024</v>
      </c>
      <c r="E116" s="23">
        <v>20</v>
      </c>
      <c r="F116" s="19">
        <f t="shared" ref="F116:G116" si="92">($N$83)*E116+($N$84)*F115</f>
        <v>21.326714729130991</v>
      </c>
      <c r="G116" s="19">
        <f t="shared" si="92"/>
        <v>22.285236600174539</v>
      </c>
      <c r="H116" s="19">
        <f t="shared" si="60"/>
        <v>20.368192858087443</v>
      </c>
      <c r="I116" s="19">
        <f t="shared" si="61"/>
        <v>-2.2365510324349449</v>
      </c>
      <c r="J116" s="19">
        <f t="shared" si="62"/>
        <v>24.091031756527155</v>
      </c>
      <c r="K116" s="30">
        <f t="shared" si="57"/>
        <v>-0.20455158782635774</v>
      </c>
      <c r="L116" s="30">
        <f t="shared" si="58"/>
        <v>0.20455158782635774</v>
      </c>
    </row>
    <row r="117" spans="3:14" x14ac:dyDescent="0.25">
      <c r="C117" s="15" t="s">
        <v>5</v>
      </c>
      <c r="D117" s="15">
        <v>2024</v>
      </c>
      <c r="E117" s="23">
        <v>19</v>
      </c>
      <c r="F117" s="19">
        <f t="shared" ref="F117:G117" si="93">($N$83)*E117+($N$84)*F116</f>
        <v>19.698014418739298</v>
      </c>
      <c r="G117" s="19">
        <f t="shared" si="93"/>
        <v>20.47418107316987</v>
      </c>
      <c r="H117" s="19">
        <f t="shared" si="60"/>
        <v>18.921847764308726</v>
      </c>
      <c r="I117" s="19">
        <f t="shared" si="61"/>
        <v>-1.8110555270046678</v>
      </c>
      <c r="J117" s="19">
        <f t="shared" si="62"/>
        <v>18.131641825652498</v>
      </c>
      <c r="K117" s="30">
        <f t="shared" si="57"/>
        <v>4.5703061807763283E-2</v>
      </c>
      <c r="L117" s="30">
        <f t="shared" si="58"/>
        <v>4.5703061807763283E-2</v>
      </c>
    </row>
    <row r="118" spans="3:14" x14ac:dyDescent="0.25">
      <c r="C118" s="15" t="s">
        <v>6</v>
      </c>
      <c r="D118" s="15">
        <v>2024</v>
      </c>
      <c r="E118" s="23">
        <v>18</v>
      </c>
      <c r="F118" s="19">
        <f t="shared" ref="F118:G118" si="94">($N$83)*E118+($N$84)*F117</f>
        <v>18.509404325621787</v>
      </c>
      <c r="G118" s="19">
        <f t="shared" si="94"/>
        <v>19.09883734988621</v>
      </c>
      <c r="H118" s="19">
        <f t="shared" si="60"/>
        <v>17.919971301357364</v>
      </c>
      <c r="I118" s="19">
        <f t="shared" si="61"/>
        <v>-1.3753437232836538</v>
      </c>
      <c r="J118" s="19">
        <f t="shared" si="62"/>
        <v>17.110792237304057</v>
      </c>
      <c r="K118" s="30">
        <f t="shared" si="57"/>
        <v>4.9400431260885704E-2</v>
      </c>
      <c r="L118" s="30">
        <f t="shared" si="58"/>
        <v>4.9400431260885704E-2</v>
      </c>
    </row>
    <row r="119" spans="3:14" x14ac:dyDescent="0.25">
      <c r="C119" s="15" t="s">
        <v>7</v>
      </c>
      <c r="D119" s="15">
        <v>2024</v>
      </c>
      <c r="E119" s="23">
        <v>15</v>
      </c>
      <c r="F119" s="19">
        <f t="shared" ref="F119:G119" si="95">($N$83)*E119+($N$84)*F118</f>
        <v>16.052821297686535</v>
      </c>
      <c r="G119" s="19">
        <f t="shared" si="95"/>
        <v>16.966626113346436</v>
      </c>
      <c r="H119" s="19">
        <f t="shared" si="60"/>
        <v>15.139016482026634</v>
      </c>
      <c r="I119" s="19">
        <f t="shared" si="61"/>
        <v>-2.1322112365397698</v>
      </c>
      <c r="J119" s="19">
        <f t="shared" si="62"/>
        <v>16.544627578073712</v>
      </c>
      <c r="K119" s="30">
        <f t="shared" si="57"/>
        <v>-0.10297517187158078</v>
      </c>
      <c r="L119" s="30">
        <f t="shared" si="58"/>
        <v>0.10297517187158078</v>
      </c>
    </row>
    <row r="120" spans="3:14" x14ac:dyDescent="0.25">
      <c r="C120" s="21" t="s">
        <v>8</v>
      </c>
      <c r="D120" s="21">
        <v>2024</v>
      </c>
      <c r="E120" s="22"/>
      <c r="F120" s="8"/>
      <c r="G120" s="8"/>
      <c r="H120" s="8"/>
      <c r="I120" s="8"/>
      <c r="J120" s="8">
        <f t="shared" si="56"/>
        <v>13.006805245486863</v>
      </c>
      <c r="K120" s="32" t="s">
        <v>21</v>
      </c>
      <c r="L120" s="32">
        <f>100/36*SUM(L85:L119)</f>
        <v>8.6409721468504248</v>
      </c>
    </row>
    <row r="123" spans="3:14" x14ac:dyDescent="0.25">
      <c r="C123" s="18" t="s">
        <v>0</v>
      </c>
      <c r="D123" s="18" t="s">
        <v>1</v>
      </c>
      <c r="E123" s="18" t="s">
        <v>22</v>
      </c>
      <c r="F123" s="18" t="s">
        <v>14</v>
      </c>
      <c r="G123" s="18" t="s">
        <v>15</v>
      </c>
      <c r="H123" s="18" t="s">
        <v>16</v>
      </c>
      <c r="I123" s="18" t="s">
        <v>17</v>
      </c>
      <c r="J123" s="18" t="s">
        <v>18</v>
      </c>
      <c r="K123" s="31" t="s">
        <v>19</v>
      </c>
      <c r="L123" s="31" t="s">
        <v>20</v>
      </c>
      <c r="N123" s="11">
        <v>0.6</v>
      </c>
    </row>
    <row r="124" spans="3:14" x14ac:dyDescent="0.25">
      <c r="C124" s="15" t="s">
        <v>8</v>
      </c>
      <c r="D124" s="15">
        <v>2021</v>
      </c>
      <c r="E124" s="23">
        <v>15</v>
      </c>
      <c r="F124" s="19">
        <v>15</v>
      </c>
      <c r="G124" s="19">
        <v>15</v>
      </c>
      <c r="H124" s="19">
        <v>15</v>
      </c>
      <c r="I124" s="19">
        <v>0</v>
      </c>
      <c r="J124" s="19"/>
      <c r="K124" s="30"/>
      <c r="L124" s="30"/>
      <c r="N124" s="11">
        <v>0.4</v>
      </c>
    </row>
    <row r="125" spans="3:14" x14ac:dyDescent="0.25">
      <c r="C125" s="15" t="s">
        <v>9</v>
      </c>
      <c r="D125" s="15">
        <v>2022</v>
      </c>
      <c r="E125" s="23">
        <v>18</v>
      </c>
      <c r="F125" s="19">
        <f>($N$123)*E125+($N$124)*F124</f>
        <v>16.799999999999997</v>
      </c>
      <c r="G125" s="19">
        <f>($N$123)*F125+($N$124)*G124</f>
        <v>16.079999999999998</v>
      </c>
      <c r="H125" s="19">
        <f t="shared" ref="H125" si="96">2*(F125)-(G125)</f>
        <v>17.519999999999996</v>
      </c>
      <c r="I125" s="19">
        <f>$N$123/$N$124*(F125-G125)</f>
        <v>1.0799999999999981</v>
      </c>
      <c r="J125" s="19">
        <f t="shared" ref="J125:J160" si="97">H124+I124</f>
        <v>15</v>
      </c>
      <c r="K125" s="30">
        <f t="shared" ref="K125:K159" si="98">(E125-J125)/E125</f>
        <v>0.16666666666666666</v>
      </c>
      <c r="L125" s="30">
        <f t="shared" ref="L125:L159" si="99">ABS(K125)</f>
        <v>0.16666666666666666</v>
      </c>
    </row>
    <row r="126" spans="3:14" x14ac:dyDescent="0.25">
      <c r="C126" s="15" t="s">
        <v>10</v>
      </c>
      <c r="D126" s="15">
        <v>2022</v>
      </c>
      <c r="E126" s="23">
        <v>19</v>
      </c>
      <c r="F126" s="19">
        <f t="shared" ref="F126:G126" si="100">($N$123)*E126+($N$124)*F125</f>
        <v>18.119999999999997</v>
      </c>
      <c r="G126" s="19">
        <f t="shared" si="100"/>
        <v>17.303999999999998</v>
      </c>
      <c r="H126" s="19">
        <f t="shared" ref="H126:H159" si="101">2*(F126)-(G126)</f>
        <v>18.935999999999996</v>
      </c>
      <c r="I126" s="19">
        <f t="shared" ref="I126:I159" si="102">$N$123/$N$124*(F126-G126)</f>
        <v>1.2239999999999982</v>
      </c>
      <c r="J126" s="19">
        <f t="shared" ref="J126:J159" si="103">H125+I125</f>
        <v>18.599999999999994</v>
      </c>
      <c r="K126" s="30">
        <f t="shared" si="98"/>
        <v>2.1052631578947666E-2</v>
      </c>
      <c r="L126" s="30">
        <f t="shared" si="99"/>
        <v>2.1052631578947666E-2</v>
      </c>
    </row>
    <row r="127" spans="3:14" x14ac:dyDescent="0.25">
      <c r="C127" s="15" t="s">
        <v>11</v>
      </c>
      <c r="D127" s="15">
        <v>2022</v>
      </c>
      <c r="E127" s="23">
        <v>19</v>
      </c>
      <c r="F127" s="19">
        <f t="shared" ref="F127:G127" si="104">($N$123)*E127+($N$124)*F126</f>
        <v>18.648</v>
      </c>
      <c r="G127" s="19">
        <f t="shared" si="104"/>
        <v>18.110399999999998</v>
      </c>
      <c r="H127" s="19">
        <f t="shared" si="101"/>
        <v>19.185600000000001</v>
      </c>
      <c r="I127" s="19">
        <f t="shared" si="102"/>
        <v>0.80640000000000167</v>
      </c>
      <c r="J127" s="19">
        <f t="shared" si="103"/>
        <v>20.159999999999993</v>
      </c>
      <c r="K127" s="30">
        <f t="shared" si="98"/>
        <v>-6.1052631578947004E-2</v>
      </c>
      <c r="L127" s="30">
        <f t="shared" si="99"/>
        <v>6.1052631578947004E-2</v>
      </c>
    </row>
    <row r="128" spans="3:14" x14ac:dyDescent="0.25">
      <c r="C128" s="15" t="s">
        <v>12</v>
      </c>
      <c r="D128" s="15">
        <v>2022</v>
      </c>
      <c r="E128" s="23">
        <v>20</v>
      </c>
      <c r="F128" s="19">
        <f t="shared" ref="F128:G128" si="105">($N$123)*E128+($N$124)*F127</f>
        <v>19.459199999999999</v>
      </c>
      <c r="G128" s="19">
        <f t="shared" si="105"/>
        <v>18.91968</v>
      </c>
      <c r="H128" s="19">
        <f t="shared" si="101"/>
        <v>19.998719999999999</v>
      </c>
      <c r="I128" s="19">
        <f t="shared" si="102"/>
        <v>0.80927999999999922</v>
      </c>
      <c r="J128" s="19">
        <f t="shared" si="103"/>
        <v>19.992000000000001</v>
      </c>
      <c r="K128" s="30">
        <f t="shared" si="98"/>
        <v>3.9999999999995595E-4</v>
      </c>
      <c r="L128" s="30">
        <f t="shared" si="99"/>
        <v>3.9999999999995595E-4</v>
      </c>
    </row>
    <row r="129" spans="3:12" x14ac:dyDescent="0.25">
      <c r="C129" s="15" t="s">
        <v>13</v>
      </c>
      <c r="D129" s="15">
        <v>2022</v>
      </c>
      <c r="E129" s="23">
        <v>20</v>
      </c>
      <c r="F129" s="19">
        <f t="shared" ref="F129:G129" si="106">($N$123)*E129+($N$124)*F128</f>
        <v>19.78368</v>
      </c>
      <c r="G129" s="19">
        <f t="shared" si="106"/>
        <v>19.438079999999999</v>
      </c>
      <c r="H129" s="19">
        <f t="shared" si="101"/>
        <v>20.129280000000001</v>
      </c>
      <c r="I129" s="19">
        <f t="shared" si="102"/>
        <v>0.51840000000000142</v>
      </c>
      <c r="J129" s="19">
        <f t="shared" si="103"/>
        <v>20.807999999999996</v>
      </c>
      <c r="K129" s="30">
        <f t="shared" si="98"/>
        <v>-4.0399999999999811E-2</v>
      </c>
      <c r="L129" s="30">
        <f t="shared" si="99"/>
        <v>4.0399999999999811E-2</v>
      </c>
    </row>
    <row r="130" spans="3:12" x14ac:dyDescent="0.25">
      <c r="C130" s="15" t="s">
        <v>2</v>
      </c>
      <c r="D130" s="15">
        <v>2022</v>
      </c>
      <c r="E130" s="23">
        <v>22</v>
      </c>
      <c r="F130" s="19">
        <f t="shared" ref="F130:G130" si="107">($N$123)*E130+($N$124)*F129</f>
        <v>21.113472000000002</v>
      </c>
      <c r="G130" s="19">
        <f t="shared" si="107"/>
        <v>20.443315200000001</v>
      </c>
      <c r="H130" s="19">
        <f t="shared" si="101"/>
        <v>21.783628800000002</v>
      </c>
      <c r="I130" s="19">
        <f t="shared" si="102"/>
        <v>1.0052352000000011</v>
      </c>
      <c r="J130" s="19">
        <f t="shared" si="103"/>
        <v>20.647680000000001</v>
      </c>
      <c r="K130" s="30">
        <f t="shared" si="98"/>
        <v>6.1469090909090855E-2</v>
      </c>
      <c r="L130" s="30">
        <f t="shared" si="99"/>
        <v>6.1469090909090855E-2</v>
      </c>
    </row>
    <row r="131" spans="3:12" x14ac:dyDescent="0.25">
      <c r="C131" s="15" t="s">
        <v>4</v>
      </c>
      <c r="D131" s="15">
        <v>2022</v>
      </c>
      <c r="E131" s="23">
        <v>18</v>
      </c>
      <c r="F131" s="19">
        <f t="shared" ref="F131:G131" si="108">($N$123)*E131+($N$124)*F130</f>
        <v>19.245388800000001</v>
      </c>
      <c r="G131" s="19">
        <f t="shared" si="108"/>
        <v>19.724559360000001</v>
      </c>
      <c r="H131" s="19">
        <f t="shared" si="101"/>
        <v>18.766218240000001</v>
      </c>
      <c r="I131" s="19">
        <f t="shared" si="102"/>
        <v>-0.71875583999999992</v>
      </c>
      <c r="J131" s="19">
        <f t="shared" si="103"/>
        <v>22.788864000000004</v>
      </c>
      <c r="K131" s="30">
        <f t="shared" si="98"/>
        <v>-0.26604800000000023</v>
      </c>
      <c r="L131" s="30">
        <f t="shared" si="99"/>
        <v>0.26604800000000023</v>
      </c>
    </row>
    <row r="132" spans="3:12" x14ac:dyDescent="0.25">
      <c r="C132" s="15" t="s">
        <v>3</v>
      </c>
      <c r="D132" s="15">
        <v>2022</v>
      </c>
      <c r="E132" s="23">
        <v>15</v>
      </c>
      <c r="F132" s="19">
        <f t="shared" ref="F132:G132" si="109">($N$123)*E132+($N$124)*F131</f>
        <v>16.69815552</v>
      </c>
      <c r="G132" s="19">
        <f t="shared" si="109"/>
        <v>17.908717056</v>
      </c>
      <c r="H132" s="19">
        <f t="shared" si="101"/>
        <v>15.487593984</v>
      </c>
      <c r="I132" s="19">
        <f t="shared" si="102"/>
        <v>-1.815842304</v>
      </c>
      <c r="J132" s="19">
        <f t="shared" si="103"/>
        <v>18.047462400000001</v>
      </c>
      <c r="K132" s="30">
        <f t="shared" si="98"/>
        <v>-0.20316416000000004</v>
      </c>
      <c r="L132" s="30">
        <f t="shared" si="99"/>
        <v>0.20316416000000004</v>
      </c>
    </row>
    <row r="133" spans="3:12" x14ac:dyDescent="0.25">
      <c r="C133" s="15" t="s">
        <v>5</v>
      </c>
      <c r="D133" s="15">
        <v>2022</v>
      </c>
      <c r="E133" s="23">
        <v>13</v>
      </c>
      <c r="F133" s="19">
        <f t="shared" ref="F133:G133" si="110">($N$123)*E133+($N$124)*F132</f>
        <v>14.479262208000002</v>
      </c>
      <c r="G133" s="19">
        <f t="shared" si="110"/>
        <v>15.8510441472</v>
      </c>
      <c r="H133" s="19">
        <f t="shared" si="101"/>
        <v>13.107480268800003</v>
      </c>
      <c r="I133" s="19">
        <f t="shared" si="102"/>
        <v>-2.0576729087999968</v>
      </c>
      <c r="J133" s="19">
        <f t="shared" si="103"/>
        <v>13.67175168</v>
      </c>
      <c r="K133" s="30">
        <f t="shared" si="98"/>
        <v>-5.1673206153846143E-2</v>
      </c>
      <c r="L133" s="30">
        <f t="shared" si="99"/>
        <v>5.1673206153846143E-2</v>
      </c>
    </row>
    <row r="134" spans="3:12" x14ac:dyDescent="0.25">
      <c r="C134" s="15" t="s">
        <v>6</v>
      </c>
      <c r="D134" s="15">
        <v>2022</v>
      </c>
      <c r="E134" s="23">
        <v>13</v>
      </c>
      <c r="F134" s="19">
        <f t="shared" ref="F134:G134" si="111">($N$123)*E134+($N$124)*F133</f>
        <v>13.591704883200002</v>
      </c>
      <c r="G134" s="19">
        <f t="shared" si="111"/>
        <v>14.495440588800001</v>
      </c>
      <c r="H134" s="19">
        <f t="shared" si="101"/>
        <v>12.687969177600003</v>
      </c>
      <c r="I134" s="19">
        <f t="shared" si="102"/>
        <v>-1.3556035583999984</v>
      </c>
      <c r="J134" s="19">
        <f t="shared" si="103"/>
        <v>11.049807360000006</v>
      </c>
      <c r="K134" s="30">
        <f t="shared" si="98"/>
        <v>0.150014818461538</v>
      </c>
      <c r="L134" s="30">
        <f t="shared" si="99"/>
        <v>0.150014818461538</v>
      </c>
    </row>
    <row r="135" spans="3:12" x14ac:dyDescent="0.25">
      <c r="C135" s="15" t="s">
        <v>7</v>
      </c>
      <c r="D135" s="15">
        <v>2022</v>
      </c>
      <c r="E135" s="23">
        <v>12</v>
      </c>
      <c r="F135" s="19">
        <f t="shared" ref="F135:G135" si="112">($N$123)*E135+($N$124)*F134</f>
        <v>12.63668195328</v>
      </c>
      <c r="G135" s="19">
        <f t="shared" si="112"/>
        <v>13.380185407488</v>
      </c>
      <c r="H135" s="19">
        <f t="shared" si="101"/>
        <v>11.893178499072</v>
      </c>
      <c r="I135" s="19">
        <f t="shared" si="102"/>
        <v>-1.1152551813119993</v>
      </c>
      <c r="J135" s="19">
        <f t="shared" si="103"/>
        <v>11.332365619200004</v>
      </c>
      <c r="K135" s="30">
        <f t="shared" si="98"/>
        <v>5.5636198399999635E-2</v>
      </c>
      <c r="L135" s="30">
        <f t="shared" si="99"/>
        <v>5.5636198399999635E-2</v>
      </c>
    </row>
    <row r="136" spans="3:12" x14ac:dyDescent="0.25">
      <c r="C136" s="15" t="s">
        <v>8</v>
      </c>
      <c r="D136" s="15">
        <v>2022</v>
      </c>
      <c r="E136" s="23">
        <v>11</v>
      </c>
      <c r="F136" s="19">
        <f t="shared" ref="F136:G136" si="113">($N$123)*E136+($N$124)*F135</f>
        <v>11.654672781312</v>
      </c>
      <c r="G136" s="19">
        <f t="shared" si="113"/>
        <v>12.3448778317824</v>
      </c>
      <c r="H136" s="19">
        <f t="shared" si="101"/>
        <v>10.9644677308416</v>
      </c>
      <c r="I136" s="19">
        <f t="shared" si="102"/>
        <v>-1.0353075757055998</v>
      </c>
      <c r="J136" s="19">
        <f t="shared" si="103"/>
        <v>10.777923317760001</v>
      </c>
      <c r="K136" s="30">
        <f t="shared" si="98"/>
        <v>2.0188789294545373E-2</v>
      </c>
      <c r="L136" s="30">
        <f t="shared" si="99"/>
        <v>2.0188789294545373E-2</v>
      </c>
    </row>
    <row r="137" spans="3:12" x14ac:dyDescent="0.25">
      <c r="C137" s="15" t="s">
        <v>9</v>
      </c>
      <c r="D137" s="15">
        <v>2023</v>
      </c>
      <c r="E137" s="23">
        <v>10</v>
      </c>
      <c r="F137" s="19">
        <f t="shared" ref="F137:G137" si="114">($N$123)*E137+($N$124)*F136</f>
        <v>10.661869112524801</v>
      </c>
      <c r="G137" s="19">
        <f t="shared" si="114"/>
        <v>11.335072600227841</v>
      </c>
      <c r="H137" s="19">
        <f t="shared" si="101"/>
        <v>9.9886656248217616</v>
      </c>
      <c r="I137" s="19">
        <f t="shared" si="102"/>
        <v>-1.0098052315545594</v>
      </c>
      <c r="J137" s="19">
        <f t="shared" si="103"/>
        <v>9.9291601551359996</v>
      </c>
      <c r="K137" s="30">
        <f t="shared" si="98"/>
        <v>7.0839844864000415E-3</v>
      </c>
      <c r="L137" s="30">
        <f t="shared" si="99"/>
        <v>7.0839844864000415E-3</v>
      </c>
    </row>
    <row r="138" spans="3:12" x14ac:dyDescent="0.25">
      <c r="C138" s="15" t="s">
        <v>10</v>
      </c>
      <c r="D138" s="15">
        <v>2023</v>
      </c>
      <c r="E138" s="23">
        <v>12</v>
      </c>
      <c r="F138" s="19">
        <f t="shared" ref="F138:G138" si="115">($N$123)*E138+($N$124)*F137</f>
        <v>11.46474764500992</v>
      </c>
      <c r="G138" s="19">
        <f t="shared" si="115"/>
        <v>11.412877627097089</v>
      </c>
      <c r="H138" s="19">
        <f t="shared" si="101"/>
        <v>11.516617662922751</v>
      </c>
      <c r="I138" s="19">
        <f t="shared" si="102"/>
        <v>7.7805026869246938E-2</v>
      </c>
      <c r="J138" s="19">
        <f t="shared" si="103"/>
        <v>8.9788603932672029</v>
      </c>
      <c r="K138" s="30">
        <f t="shared" si="98"/>
        <v>0.25176163389439976</v>
      </c>
      <c r="L138" s="30">
        <f t="shared" si="99"/>
        <v>0.25176163389439976</v>
      </c>
    </row>
    <row r="139" spans="3:12" x14ac:dyDescent="0.25">
      <c r="C139" s="15" t="s">
        <v>11</v>
      </c>
      <c r="D139" s="15">
        <v>2023</v>
      </c>
      <c r="E139" s="23">
        <v>14</v>
      </c>
      <c r="F139" s="19">
        <f t="shared" ref="F139:G139" si="116">($N$123)*E139+($N$124)*F138</f>
        <v>12.985899058003969</v>
      </c>
      <c r="G139" s="19">
        <f t="shared" si="116"/>
        <v>12.356690485641217</v>
      </c>
      <c r="H139" s="19">
        <f t="shared" si="101"/>
        <v>13.615107630366722</v>
      </c>
      <c r="I139" s="19">
        <f t="shared" si="102"/>
        <v>0.94381285854412933</v>
      </c>
      <c r="J139" s="19">
        <f t="shared" si="103"/>
        <v>11.594422689791998</v>
      </c>
      <c r="K139" s="30">
        <f t="shared" si="98"/>
        <v>0.17182695072914303</v>
      </c>
      <c r="L139" s="30">
        <f t="shared" si="99"/>
        <v>0.17182695072914303</v>
      </c>
    </row>
    <row r="140" spans="3:12" x14ac:dyDescent="0.25">
      <c r="C140" s="15" t="s">
        <v>12</v>
      </c>
      <c r="D140" s="15">
        <v>2023</v>
      </c>
      <c r="E140" s="23">
        <v>18</v>
      </c>
      <c r="F140" s="19">
        <f t="shared" ref="F140:G140" si="117">($N$123)*E140+($N$124)*F139</f>
        <v>15.994359623201587</v>
      </c>
      <c r="G140" s="19">
        <f t="shared" si="117"/>
        <v>14.539291968177439</v>
      </c>
      <c r="H140" s="19">
        <f t="shared" si="101"/>
        <v>17.449427278225734</v>
      </c>
      <c r="I140" s="19">
        <f t="shared" si="102"/>
        <v>2.1826014825362221</v>
      </c>
      <c r="J140" s="19">
        <f t="shared" si="103"/>
        <v>14.558920488910852</v>
      </c>
      <c r="K140" s="30">
        <f t="shared" si="98"/>
        <v>0.19117108394939711</v>
      </c>
      <c r="L140" s="30">
        <f t="shared" si="99"/>
        <v>0.19117108394939711</v>
      </c>
    </row>
    <row r="141" spans="3:12" x14ac:dyDescent="0.25">
      <c r="C141" s="15" t="s">
        <v>13</v>
      </c>
      <c r="D141" s="15">
        <v>2023</v>
      </c>
      <c r="E141" s="23">
        <v>20</v>
      </c>
      <c r="F141" s="19">
        <f t="shared" ref="F141:G141" si="118">($N$123)*E141+($N$124)*F140</f>
        <v>18.397743849280637</v>
      </c>
      <c r="G141" s="19">
        <f t="shared" si="118"/>
        <v>16.854363096839357</v>
      </c>
      <c r="H141" s="19">
        <f t="shared" si="101"/>
        <v>19.941124601721917</v>
      </c>
      <c r="I141" s="19">
        <f t="shared" si="102"/>
        <v>2.3150711286619194</v>
      </c>
      <c r="J141" s="19">
        <f t="shared" si="103"/>
        <v>19.632028760761955</v>
      </c>
      <c r="K141" s="30">
        <f t="shared" si="98"/>
        <v>1.839856196190226E-2</v>
      </c>
      <c r="L141" s="30">
        <f t="shared" si="99"/>
        <v>1.839856196190226E-2</v>
      </c>
    </row>
    <row r="142" spans="3:12" x14ac:dyDescent="0.25">
      <c r="C142" s="15" t="s">
        <v>2</v>
      </c>
      <c r="D142" s="15">
        <v>2023</v>
      </c>
      <c r="E142" s="23">
        <v>22</v>
      </c>
      <c r="F142" s="19">
        <f t="shared" ref="F142:G142" si="119">($N$123)*E142+($N$124)*F141</f>
        <v>20.559097539712255</v>
      </c>
      <c r="G142" s="19">
        <f t="shared" si="119"/>
        <v>19.077203762563094</v>
      </c>
      <c r="H142" s="19">
        <f t="shared" si="101"/>
        <v>22.040991316861415</v>
      </c>
      <c r="I142" s="19">
        <f t="shared" si="102"/>
        <v>2.2228406657237403</v>
      </c>
      <c r="J142" s="19">
        <f t="shared" si="103"/>
        <v>22.256195730383837</v>
      </c>
      <c r="K142" s="30">
        <f t="shared" si="98"/>
        <v>-1.1645260471992587E-2</v>
      </c>
      <c r="L142" s="30">
        <f t="shared" si="99"/>
        <v>1.1645260471992587E-2</v>
      </c>
    </row>
    <row r="143" spans="3:12" x14ac:dyDescent="0.25">
      <c r="C143" s="15" t="s">
        <v>4</v>
      </c>
      <c r="D143" s="15">
        <v>2023</v>
      </c>
      <c r="E143" s="23">
        <v>20</v>
      </c>
      <c r="F143" s="19">
        <f t="shared" ref="F143:G143" si="120">($N$123)*E143+($N$124)*F142</f>
        <v>20.223639015884903</v>
      </c>
      <c r="G143" s="19">
        <f t="shared" si="120"/>
        <v>19.765064914556177</v>
      </c>
      <c r="H143" s="19">
        <f t="shared" si="101"/>
        <v>20.682213117213628</v>
      </c>
      <c r="I143" s="19">
        <f t="shared" si="102"/>
        <v>0.68786115199308806</v>
      </c>
      <c r="J143" s="19">
        <f t="shared" si="103"/>
        <v>24.263831982585156</v>
      </c>
      <c r="K143" s="30">
        <f t="shared" si="98"/>
        <v>-0.21319159912925781</v>
      </c>
      <c r="L143" s="30">
        <f t="shared" si="99"/>
        <v>0.21319159912925781</v>
      </c>
    </row>
    <row r="144" spans="3:12" x14ac:dyDescent="0.25">
      <c r="C144" s="15" t="s">
        <v>3</v>
      </c>
      <c r="D144" s="15">
        <v>2023</v>
      </c>
      <c r="E144" s="23">
        <v>19</v>
      </c>
      <c r="F144" s="19">
        <f t="shared" ref="F144:G144" si="121">($N$123)*E144+($N$124)*F143</f>
        <v>19.489455606353964</v>
      </c>
      <c r="G144" s="19">
        <f t="shared" si="121"/>
        <v>19.599699329634849</v>
      </c>
      <c r="H144" s="19">
        <f t="shared" si="101"/>
        <v>19.379211883073079</v>
      </c>
      <c r="I144" s="19">
        <f t="shared" si="102"/>
        <v>-0.16536558492132689</v>
      </c>
      <c r="J144" s="19">
        <f t="shared" si="103"/>
        <v>21.370074269206714</v>
      </c>
      <c r="K144" s="30">
        <f t="shared" si="98"/>
        <v>-0.12474075101087971</v>
      </c>
      <c r="L144" s="30">
        <f t="shared" si="99"/>
        <v>0.12474075101087971</v>
      </c>
    </row>
    <row r="145" spans="3:12" x14ac:dyDescent="0.25">
      <c r="C145" s="15" t="s">
        <v>5</v>
      </c>
      <c r="D145" s="15">
        <v>2023</v>
      </c>
      <c r="E145" s="23">
        <v>19</v>
      </c>
      <c r="F145" s="19">
        <f t="shared" ref="F145:G145" si="122">($N$123)*E145+($N$124)*F144</f>
        <v>19.195782242541586</v>
      </c>
      <c r="G145" s="19">
        <f t="shared" si="122"/>
        <v>19.357349077378892</v>
      </c>
      <c r="H145" s="19">
        <f t="shared" si="101"/>
        <v>19.034215407704281</v>
      </c>
      <c r="I145" s="19">
        <f t="shared" si="102"/>
        <v>-0.24235025225595838</v>
      </c>
      <c r="J145" s="19">
        <f t="shared" si="103"/>
        <v>19.213846298151754</v>
      </c>
      <c r="K145" s="30">
        <f t="shared" si="98"/>
        <v>-1.1255068323776535E-2</v>
      </c>
      <c r="L145" s="30">
        <f t="shared" si="99"/>
        <v>1.1255068323776535E-2</v>
      </c>
    </row>
    <row r="146" spans="3:12" x14ac:dyDescent="0.25">
      <c r="C146" s="15" t="s">
        <v>6</v>
      </c>
      <c r="D146" s="15">
        <v>2023</v>
      </c>
      <c r="E146" s="23">
        <v>18</v>
      </c>
      <c r="F146" s="19">
        <f t="shared" ref="F146:G146" si="123">($N$123)*E146+($N$124)*F145</f>
        <v>18.478312897016636</v>
      </c>
      <c r="G146" s="19">
        <f t="shared" si="123"/>
        <v>18.829927369161538</v>
      </c>
      <c r="H146" s="19">
        <f t="shared" si="101"/>
        <v>18.126698424871734</v>
      </c>
      <c r="I146" s="19">
        <f t="shared" si="102"/>
        <v>-0.52742170821735346</v>
      </c>
      <c r="J146" s="19">
        <f t="shared" si="103"/>
        <v>18.791865155448324</v>
      </c>
      <c r="K146" s="30">
        <f t="shared" si="98"/>
        <v>-4.3992508636018002E-2</v>
      </c>
      <c r="L146" s="30">
        <f t="shared" si="99"/>
        <v>4.3992508636018002E-2</v>
      </c>
    </row>
    <row r="147" spans="3:12" x14ac:dyDescent="0.25">
      <c r="C147" s="15" t="s">
        <v>7</v>
      </c>
      <c r="D147" s="15">
        <v>2023</v>
      </c>
      <c r="E147" s="23">
        <v>18</v>
      </c>
      <c r="F147" s="19">
        <f t="shared" ref="F147:G147" si="124">($N$123)*E147+($N$124)*F146</f>
        <v>18.191325158806656</v>
      </c>
      <c r="G147" s="19">
        <f t="shared" si="124"/>
        <v>18.44676604294861</v>
      </c>
      <c r="H147" s="19">
        <f t="shared" si="101"/>
        <v>17.935884274664701</v>
      </c>
      <c r="I147" s="19">
        <f t="shared" si="102"/>
        <v>-0.38316132621293159</v>
      </c>
      <c r="J147" s="19">
        <f t="shared" si="103"/>
        <v>17.59927671665438</v>
      </c>
      <c r="K147" s="30">
        <f t="shared" si="98"/>
        <v>2.2262404630312222E-2</v>
      </c>
      <c r="L147" s="30">
        <f t="shared" si="99"/>
        <v>2.2262404630312222E-2</v>
      </c>
    </row>
    <row r="148" spans="3:12" x14ac:dyDescent="0.25">
      <c r="C148" s="15" t="s">
        <v>8</v>
      </c>
      <c r="D148" s="15">
        <v>2023</v>
      </c>
      <c r="E148" s="23">
        <v>16</v>
      </c>
      <c r="F148" s="19">
        <f t="shared" ref="F148:G148" si="125">($N$123)*E148+($N$124)*F147</f>
        <v>16.876530063522662</v>
      </c>
      <c r="G148" s="19">
        <f t="shared" si="125"/>
        <v>17.50462445529304</v>
      </c>
      <c r="H148" s="19">
        <f t="shared" si="101"/>
        <v>16.248435671752283</v>
      </c>
      <c r="I148" s="19">
        <f t="shared" si="102"/>
        <v>-0.94214158765556799</v>
      </c>
      <c r="J148" s="19">
        <f t="shared" si="103"/>
        <v>17.55272294845177</v>
      </c>
      <c r="K148" s="30">
        <f t="shared" si="98"/>
        <v>-9.7045184278235608E-2</v>
      </c>
      <c r="L148" s="30">
        <f t="shared" si="99"/>
        <v>9.7045184278235608E-2</v>
      </c>
    </row>
    <row r="149" spans="3:12" x14ac:dyDescent="0.25">
      <c r="C149" s="15" t="s">
        <v>9</v>
      </c>
      <c r="D149" s="15">
        <v>2024</v>
      </c>
      <c r="E149" s="23">
        <v>18</v>
      </c>
      <c r="F149" s="19">
        <f t="shared" ref="F149:G149" si="126">($N$123)*E149+($N$124)*F148</f>
        <v>17.550612025409066</v>
      </c>
      <c r="G149" s="19">
        <f t="shared" si="126"/>
        <v>17.532216997362656</v>
      </c>
      <c r="H149" s="19">
        <f t="shared" si="101"/>
        <v>17.569007053455476</v>
      </c>
      <c r="I149" s="19">
        <f t="shared" si="102"/>
        <v>2.7592542069614364E-2</v>
      </c>
      <c r="J149" s="19">
        <f t="shared" si="103"/>
        <v>15.306294084096715</v>
      </c>
      <c r="K149" s="30">
        <f t="shared" si="98"/>
        <v>0.14965032866129363</v>
      </c>
      <c r="L149" s="30">
        <f t="shared" si="99"/>
        <v>0.14965032866129363</v>
      </c>
    </row>
    <row r="150" spans="3:12" x14ac:dyDescent="0.25">
      <c r="C150" s="15" t="s">
        <v>10</v>
      </c>
      <c r="D150" s="15">
        <v>2024</v>
      </c>
      <c r="E150" s="23">
        <v>20</v>
      </c>
      <c r="F150" s="19">
        <f t="shared" ref="F150:G150" si="127">($N$123)*E150+($N$124)*F149</f>
        <v>19.020244810163625</v>
      </c>
      <c r="G150" s="19">
        <f t="shared" si="127"/>
        <v>18.425033685043239</v>
      </c>
      <c r="H150" s="19">
        <f t="shared" si="101"/>
        <v>19.615455935284011</v>
      </c>
      <c r="I150" s="19">
        <f t="shared" si="102"/>
        <v>0.89281668768057887</v>
      </c>
      <c r="J150" s="19">
        <f t="shared" si="103"/>
        <v>17.596599595525088</v>
      </c>
      <c r="K150" s="30">
        <f t="shared" si="98"/>
        <v>0.12017002022374559</v>
      </c>
      <c r="L150" s="30">
        <f t="shared" si="99"/>
        <v>0.12017002022374559</v>
      </c>
    </row>
    <row r="151" spans="3:12" x14ac:dyDescent="0.25">
      <c r="C151" s="15" t="s">
        <v>11</v>
      </c>
      <c r="D151" s="15">
        <v>2024</v>
      </c>
      <c r="E151" s="23">
        <v>22</v>
      </c>
      <c r="F151" s="19">
        <f t="shared" ref="F151:G151" si="128">($N$123)*E151+($N$124)*F150</f>
        <v>20.80809792406545</v>
      </c>
      <c r="G151" s="19">
        <f t="shared" si="128"/>
        <v>19.854872228456564</v>
      </c>
      <c r="H151" s="19">
        <f t="shared" si="101"/>
        <v>21.761323619674336</v>
      </c>
      <c r="I151" s="19">
        <f t="shared" si="102"/>
        <v>1.4298385434133285</v>
      </c>
      <c r="J151" s="19">
        <f t="shared" si="103"/>
        <v>20.50827262296459</v>
      </c>
      <c r="K151" s="30">
        <f t="shared" si="98"/>
        <v>6.7805789865245908E-2</v>
      </c>
      <c r="L151" s="30">
        <f t="shared" si="99"/>
        <v>6.7805789865245908E-2</v>
      </c>
    </row>
    <row r="152" spans="3:12" x14ac:dyDescent="0.25">
      <c r="C152" s="15" t="s">
        <v>12</v>
      </c>
      <c r="D152" s="15">
        <v>2024</v>
      </c>
      <c r="E152" s="23">
        <v>22</v>
      </c>
      <c r="F152" s="19">
        <f t="shared" ref="F152:G152" si="129">($N$123)*E152+($N$124)*F151</f>
        <v>21.52323916962618</v>
      </c>
      <c r="G152" s="19">
        <f t="shared" si="129"/>
        <v>20.855892393158335</v>
      </c>
      <c r="H152" s="19">
        <f t="shared" si="101"/>
        <v>22.190585946094025</v>
      </c>
      <c r="I152" s="19">
        <f t="shared" si="102"/>
        <v>1.0010201647017671</v>
      </c>
      <c r="J152" s="19">
        <f t="shared" si="103"/>
        <v>23.191162163087665</v>
      </c>
      <c r="K152" s="30">
        <f t="shared" si="98"/>
        <v>-5.4143734685802934E-2</v>
      </c>
      <c r="L152" s="30">
        <f t="shared" si="99"/>
        <v>5.4143734685802934E-2</v>
      </c>
    </row>
    <row r="153" spans="3:12" x14ac:dyDescent="0.25">
      <c r="C153" s="15" t="s">
        <v>13</v>
      </c>
      <c r="D153" s="15">
        <v>2024</v>
      </c>
      <c r="E153" s="23">
        <v>25</v>
      </c>
      <c r="F153" s="19">
        <f t="shared" ref="F153:G153" si="130">($N$123)*E153+($N$124)*F152</f>
        <v>23.609295667850475</v>
      </c>
      <c r="G153" s="19">
        <f t="shared" si="130"/>
        <v>22.507934357973618</v>
      </c>
      <c r="H153" s="19">
        <f t="shared" si="101"/>
        <v>24.710656977727332</v>
      </c>
      <c r="I153" s="19">
        <f t="shared" si="102"/>
        <v>1.6520419648152858</v>
      </c>
      <c r="J153" s="19">
        <f t="shared" si="103"/>
        <v>23.191606110795792</v>
      </c>
      <c r="K153" s="30">
        <f t="shared" si="98"/>
        <v>7.2335755568168306E-2</v>
      </c>
      <c r="L153" s="30">
        <f t="shared" si="99"/>
        <v>7.2335755568168306E-2</v>
      </c>
    </row>
    <row r="154" spans="3:12" x14ac:dyDescent="0.25">
      <c r="C154" s="15" t="s">
        <v>2</v>
      </c>
      <c r="D154" s="15">
        <v>2024</v>
      </c>
      <c r="E154" s="23">
        <v>26</v>
      </c>
      <c r="F154" s="19">
        <f t="shared" ref="F154:G154" si="131">($N$123)*E154+($N$124)*F153</f>
        <v>25.043718267140189</v>
      </c>
      <c r="G154" s="19">
        <f t="shared" si="131"/>
        <v>24.02940470347356</v>
      </c>
      <c r="H154" s="19">
        <f t="shared" si="101"/>
        <v>26.058031830806819</v>
      </c>
      <c r="I154" s="19">
        <f t="shared" si="102"/>
        <v>1.5214703454999439</v>
      </c>
      <c r="J154" s="19">
        <f t="shared" si="103"/>
        <v>26.362698942542618</v>
      </c>
      <c r="K154" s="30">
        <f t="shared" si="98"/>
        <v>-1.3949959328562236E-2</v>
      </c>
      <c r="L154" s="30">
        <f t="shared" si="99"/>
        <v>1.3949959328562236E-2</v>
      </c>
    </row>
    <row r="155" spans="3:12" x14ac:dyDescent="0.25">
      <c r="C155" s="15" t="s">
        <v>4</v>
      </c>
      <c r="D155" s="15">
        <v>2024</v>
      </c>
      <c r="E155" s="23">
        <v>24</v>
      </c>
      <c r="F155" s="19">
        <f t="shared" ref="F155:G155" si="132">($N$123)*E155+($N$124)*F154</f>
        <v>24.417487306856074</v>
      </c>
      <c r="G155" s="19">
        <f t="shared" si="132"/>
        <v>24.262254265503067</v>
      </c>
      <c r="H155" s="19">
        <f t="shared" si="101"/>
        <v>24.572720348209081</v>
      </c>
      <c r="I155" s="19">
        <f t="shared" si="102"/>
        <v>0.23284956202951076</v>
      </c>
      <c r="J155" s="19">
        <f t="shared" si="103"/>
        <v>27.579502176306761</v>
      </c>
      <c r="K155" s="30">
        <f t="shared" si="98"/>
        <v>-0.14914592401278171</v>
      </c>
      <c r="L155" s="30">
        <f t="shared" si="99"/>
        <v>0.14914592401278171</v>
      </c>
    </row>
    <row r="156" spans="3:12" x14ac:dyDescent="0.25">
      <c r="C156" s="15" t="s">
        <v>3</v>
      </c>
      <c r="D156" s="15">
        <v>2024</v>
      </c>
      <c r="E156" s="23">
        <v>20</v>
      </c>
      <c r="F156" s="19">
        <f t="shared" ref="F156:G156" si="133">($N$123)*E156+($N$124)*F155</f>
        <v>21.76699492274243</v>
      </c>
      <c r="G156" s="19">
        <f t="shared" si="133"/>
        <v>22.765098659846686</v>
      </c>
      <c r="H156" s="19">
        <f t="shared" si="101"/>
        <v>20.768891185638175</v>
      </c>
      <c r="I156" s="19">
        <f t="shared" si="102"/>
        <v>-1.4971556056563828</v>
      </c>
      <c r="J156" s="19">
        <f t="shared" si="103"/>
        <v>24.805569910238592</v>
      </c>
      <c r="K156" s="30">
        <f t="shared" si="98"/>
        <v>-0.24027849551192962</v>
      </c>
      <c r="L156" s="30">
        <f t="shared" si="99"/>
        <v>0.24027849551192962</v>
      </c>
    </row>
    <row r="157" spans="3:12" x14ac:dyDescent="0.25">
      <c r="C157" s="15" t="s">
        <v>5</v>
      </c>
      <c r="D157" s="15">
        <v>2024</v>
      </c>
      <c r="E157" s="23">
        <v>19</v>
      </c>
      <c r="F157" s="19">
        <f t="shared" ref="F157:G157" si="134">($N$123)*E157+($N$124)*F156</f>
        <v>20.106797969096974</v>
      </c>
      <c r="G157" s="19">
        <f t="shared" si="134"/>
        <v>21.170118245396857</v>
      </c>
      <c r="H157" s="19">
        <f t="shared" si="101"/>
        <v>19.04347769279709</v>
      </c>
      <c r="I157" s="19">
        <f t="shared" si="102"/>
        <v>-1.594980414449825</v>
      </c>
      <c r="J157" s="19">
        <f t="shared" si="103"/>
        <v>19.271735579981794</v>
      </c>
      <c r="K157" s="30">
        <f t="shared" si="98"/>
        <v>-1.4301872630620724E-2</v>
      </c>
      <c r="L157" s="30">
        <f t="shared" si="99"/>
        <v>1.4301872630620724E-2</v>
      </c>
    </row>
    <row r="158" spans="3:12" x14ac:dyDescent="0.25">
      <c r="C158" s="15" t="s">
        <v>6</v>
      </c>
      <c r="D158" s="15">
        <v>2024</v>
      </c>
      <c r="E158" s="23">
        <v>18</v>
      </c>
      <c r="F158" s="19">
        <f t="shared" ref="F158:G158" si="135">($N$123)*E158+($N$124)*F157</f>
        <v>18.842719187638789</v>
      </c>
      <c r="G158" s="19">
        <f t="shared" si="135"/>
        <v>19.773678810742016</v>
      </c>
      <c r="H158" s="19">
        <f t="shared" si="101"/>
        <v>17.911759564535561</v>
      </c>
      <c r="I158" s="19">
        <f t="shared" si="102"/>
        <v>-1.3964394346548408</v>
      </c>
      <c r="J158" s="19">
        <f t="shared" si="103"/>
        <v>17.448497278347265</v>
      </c>
      <c r="K158" s="30">
        <f t="shared" si="98"/>
        <v>3.0639040091818615E-2</v>
      </c>
      <c r="L158" s="30">
        <f t="shared" si="99"/>
        <v>3.0639040091818615E-2</v>
      </c>
    </row>
    <row r="159" spans="3:12" x14ac:dyDescent="0.25">
      <c r="C159" s="15" t="s">
        <v>7</v>
      </c>
      <c r="D159" s="15">
        <v>2024</v>
      </c>
      <c r="E159" s="23">
        <v>15</v>
      </c>
      <c r="F159" s="19">
        <f t="shared" ref="F159:G159" si="136">($N$123)*E159+($N$124)*F158</f>
        <v>16.537087675055517</v>
      </c>
      <c r="G159" s="19">
        <f t="shared" si="136"/>
        <v>17.831724129330116</v>
      </c>
      <c r="H159" s="19">
        <f t="shared" si="101"/>
        <v>15.242451220780918</v>
      </c>
      <c r="I159" s="19">
        <f t="shared" si="102"/>
        <v>-1.9419546814118982</v>
      </c>
      <c r="J159" s="19">
        <f t="shared" si="103"/>
        <v>16.51532012988072</v>
      </c>
      <c r="K159" s="30">
        <f t="shared" si="98"/>
        <v>-0.10102134199204803</v>
      </c>
      <c r="L159" s="30">
        <f t="shared" si="99"/>
        <v>0.10102134199204803</v>
      </c>
    </row>
    <row r="160" spans="3:12" x14ac:dyDescent="0.25">
      <c r="C160" s="21" t="s">
        <v>8</v>
      </c>
      <c r="D160" s="21">
        <v>2024</v>
      </c>
      <c r="E160" s="22"/>
      <c r="F160" s="8"/>
      <c r="G160" s="8"/>
      <c r="H160" s="8"/>
      <c r="I160" s="8"/>
      <c r="J160" s="8">
        <f t="shared" si="97"/>
        <v>13.30049653936902</v>
      </c>
      <c r="K160" s="32" t="s">
        <v>21</v>
      </c>
      <c r="L160" s="32">
        <f>100/36*SUM(L125:L159)</f>
        <v>9.0988429086592042</v>
      </c>
    </row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</sheetData>
  <sortState xmlns:xlrd2="http://schemas.microsoft.com/office/spreadsheetml/2017/richdata2" ref="E4:E39">
    <sortCondition ref="E4:E3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BB50-F034-440E-8869-A52310F50298}">
  <dimension ref="C3:N241"/>
  <sheetViews>
    <sheetView topLeftCell="A177" zoomScale="85" zoomScaleNormal="85" workbookViewId="0">
      <selection activeCell="E189" sqref="E189:E199"/>
    </sheetView>
  </sheetViews>
  <sheetFormatPr defaultRowHeight="15" x14ac:dyDescent="0.25"/>
  <cols>
    <col min="3" max="3" width="10.85546875" bestFit="1" customWidth="1"/>
    <col min="4" max="4" width="6.42578125" bestFit="1" customWidth="1"/>
    <col min="5" max="5" width="7.5703125" style="25" bestFit="1" customWidth="1"/>
    <col min="6" max="9" width="12" bestFit="1" customWidth="1"/>
    <col min="10" max="10" width="8.28515625" bestFit="1" customWidth="1"/>
    <col min="11" max="11" width="12.7109375" bestFit="1" customWidth="1"/>
    <col min="12" max="12" width="12" style="29" bestFit="1" customWidth="1"/>
  </cols>
  <sheetData>
    <row r="3" spans="3:14" x14ac:dyDescent="0.25">
      <c r="C3" s="18" t="s">
        <v>0</v>
      </c>
      <c r="D3" s="18" t="s">
        <v>1</v>
      </c>
      <c r="E3" s="18" t="s">
        <v>22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  <c r="K3" s="18" t="s">
        <v>19</v>
      </c>
      <c r="L3" s="26" t="s">
        <v>20</v>
      </c>
      <c r="N3" s="11">
        <v>0.9</v>
      </c>
    </row>
    <row r="4" spans="3:14" x14ac:dyDescent="0.25">
      <c r="C4" s="15" t="s">
        <v>8</v>
      </c>
      <c r="D4" s="15">
        <v>2021</v>
      </c>
      <c r="E4" s="23">
        <v>15</v>
      </c>
      <c r="F4" s="23">
        <v>15</v>
      </c>
      <c r="G4" s="23">
        <v>15</v>
      </c>
      <c r="H4" s="23">
        <v>15</v>
      </c>
      <c r="I4" s="19">
        <v>0</v>
      </c>
      <c r="J4" s="19"/>
      <c r="K4" s="19"/>
      <c r="L4" s="27"/>
      <c r="N4" s="11">
        <v>0.1</v>
      </c>
    </row>
    <row r="5" spans="3:14" x14ac:dyDescent="0.25">
      <c r="C5" s="15" t="s">
        <v>9</v>
      </c>
      <c r="D5" s="15">
        <v>2022</v>
      </c>
      <c r="E5" s="23">
        <v>12</v>
      </c>
      <c r="F5" s="19">
        <f>($N$3)*E5+($N$4)*F4</f>
        <v>12.3</v>
      </c>
      <c r="G5" s="19">
        <f>($N$3)*F5+($N$4)*G4</f>
        <v>12.57</v>
      </c>
      <c r="H5" s="19">
        <f>2*(F5)-(G5)</f>
        <v>12.030000000000001</v>
      </c>
      <c r="I5" s="19">
        <f>$N$3/$N$4*(F5-G5)</f>
        <v>-2.4299999999999962</v>
      </c>
      <c r="J5" s="19">
        <f>H4+I4</f>
        <v>15</v>
      </c>
      <c r="K5" s="19">
        <f>(E5-J5)/E5</f>
        <v>-0.25</v>
      </c>
      <c r="L5" s="27">
        <f>ABS(K5)</f>
        <v>0.25</v>
      </c>
    </row>
    <row r="6" spans="3:14" x14ac:dyDescent="0.25">
      <c r="C6" s="15" t="s">
        <v>10</v>
      </c>
      <c r="D6" s="15">
        <v>2022</v>
      </c>
      <c r="E6" s="23">
        <v>11</v>
      </c>
      <c r="F6" s="19">
        <f t="shared" ref="F6:F39" si="0">($N$3)*E6+($N$4)*F5</f>
        <v>11.13</v>
      </c>
      <c r="G6" s="19">
        <f t="shared" ref="G6:G39" si="1">($N$3)*F6+($N$4)*G5</f>
        <v>11.274000000000001</v>
      </c>
      <c r="H6" s="19">
        <f t="shared" ref="H6:H39" si="2">2*(F6)-(G6)</f>
        <v>10.986000000000001</v>
      </c>
      <c r="I6" s="19">
        <f t="shared" ref="I6:I39" si="3">$N$3/$N$4*(F6-G6)</f>
        <v>-1.2960000000000012</v>
      </c>
      <c r="J6" s="19">
        <f t="shared" ref="J6:J39" si="4">H5+I5</f>
        <v>9.600000000000005</v>
      </c>
      <c r="K6" s="19">
        <f>(E6-J6)/E6</f>
        <v>0.12727272727272682</v>
      </c>
      <c r="L6" s="27">
        <f t="shared" ref="L6:L39" si="5">ABS(K6)</f>
        <v>0.12727272727272682</v>
      </c>
    </row>
    <row r="7" spans="3:14" x14ac:dyDescent="0.25">
      <c r="C7" s="15" t="s">
        <v>11</v>
      </c>
      <c r="D7" s="15">
        <v>2022</v>
      </c>
      <c r="E7" s="23">
        <v>10</v>
      </c>
      <c r="F7" s="19">
        <f t="shared" si="0"/>
        <v>10.113</v>
      </c>
      <c r="G7" s="19">
        <f t="shared" si="1"/>
        <v>10.229099999999999</v>
      </c>
      <c r="H7" s="19">
        <f t="shared" si="2"/>
        <v>9.9969000000000001</v>
      </c>
      <c r="I7" s="19">
        <f t="shared" si="3"/>
        <v>-1.0448999999999948</v>
      </c>
      <c r="J7" s="19">
        <f t="shared" si="4"/>
        <v>9.69</v>
      </c>
      <c r="K7" s="19">
        <f t="shared" ref="K7:K39" si="6">(E7-J7)/E7</f>
        <v>3.1000000000000048E-2</v>
      </c>
      <c r="L7" s="27">
        <f>ABS(K7)</f>
        <v>3.1000000000000048E-2</v>
      </c>
    </row>
    <row r="8" spans="3:14" x14ac:dyDescent="0.25">
      <c r="C8" s="15" t="s">
        <v>12</v>
      </c>
      <c r="D8" s="15">
        <v>2022</v>
      </c>
      <c r="E8" s="23">
        <v>9</v>
      </c>
      <c r="F8" s="19">
        <f t="shared" si="0"/>
        <v>9.1113</v>
      </c>
      <c r="G8" s="19">
        <f t="shared" si="1"/>
        <v>9.2230799999999995</v>
      </c>
      <c r="H8" s="19">
        <f t="shared" si="2"/>
        <v>8.9995200000000004</v>
      </c>
      <c r="I8" s="19">
        <f t="shared" si="3"/>
        <v>-1.0060199999999959</v>
      </c>
      <c r="J8" s="19">
        <f t="shared" si="4"/>
        <v>8.9520000000000053</v>
      </c>
      <c r="K8" s="19">
        <f t="shared" si="6"/>
        <v>5.333333333332746E-3</v>
      </c>
      <c r="L8" s="27">
        <f t="shared" si="5"/>
        <v>5.333333333332746E-3</v>
      </c>
    </row>
    <row r="9" spans="3:14" x14ac:dyDescent="0.25">
      <c r="C9" s="15" t="s">
        <v>13</v>
      </c>
      <c r="D9" s="15">
        <v>2022</v>
      </c>
      <c r="E9" s="23">
        <v>10</v>
      </c>
      <c r="F9" s="19">
        <f t="shared" si="0"/>
        <v>9.91113</v>
      </c>
      <c r="G9" s="19">
        <f t="shared" si="1"/>
        <v>9.8423249999999989</v>
      </c>
      <c r="H9" s="19">
        <f t="shared" si="2"/>
        <v>9.9799350000000011</v>
      </c>
      <c r="I9" s="19">
        <f t="shared" si="3"/>
        <v>0.61924500000001004</v>
      </c>
      <c r="J9" s="19">
        <f t="shared" si="4"/>
        <v>7.9935000000000045</v>
      </c>
      <c r="K9" s="19">
        <f t="shared" si="6"/>
        <v>0.20064999999999955</v>
      </c>
      <c r="L9" s="27">
        <f t="shared" si="5"/>
        <v>0.20064999999999955</v>
      </c>
    </row>
    <row r="10" spans="3:14" x14ac:dyDescent="0.25">
      <c r="C10" s="15" t="s">
        <v>2</v>
      </c>
      <c r="D10" s="15">
        <v>2022</v>
      </c>
      <c r="E10" s="23">
        <v>12</v>
      </c>
      <c r="F10" s="19">
        <f t="shared" si="0"/>
        <v>11.791113000000001</v>
      </c>
      <c r="G10" s="19">
        <f t="shared" si="1"/>
        <v>11.5962342</v>
      </c>
      <c r="H10" s="19">
        <f t="shared" si="2"/>
        <v>11.985991800000003</v>
      </c>
      <c r="I10" s="19">
        <f t="shared" si="3"/>
        <v>1.7539092000000132</v>
      </c>
      <c r="J10" s="19">
        <f t="shared" si="4"/>
        <v>10.599180000000011</v>
      </c>
      <c r="K10" s="19">
        <f t="shared" si="6"/>
        <v>0.11673499999999908</v>
      </c>
      <c r="L10" s="27">
        <f t="shared" si="5"/>
        <v>0.11673499999999908</v>
      </c>
    </row>
    <row r="11" spans="3:14" x14ac:dyDescent="0.25">
      <c r="C11" s="15" t="s">
        <v>4</v>
      </c>
      <c r="D11" s="15">
        <v>2022</v>
      </c>
      <c r="E11" s="23">
        <v>14</v>
      </c>
      <c r="F11" s="19">
        <f t="shared" si="0"/>
        <v>13.7791113</v>
      </c>
      <c r="G11" s="19">
        <f t="shared" si="1"/>
        <v>13.560823590000002</v>
      </c>
      <c r="H11" s="19">
        <f t="shared" si="2"/>
        <v>13.997399009999999</v>
      </c>
      <c r="I11" s="19">
        <f t="shared" si="3"/>
        <v>1.9645893899999862</v>
      </c>
      <c r="J11" s="19">
        <f t="shared" si="4"/>
        <v>13.739901000000016</v>
      </c>
      <c r="K11" s="19">
        <f t="shared" si="6"/>
        <v>1.8578499999998881E-2</v>
      </c>
      <c r="L11" s="27">
        <f t="shared" si="5"/>
        <v>1.8578499999998881E-2</v>
      </c>
    </row>
    <row r="12" spans="3:14" x14ac:dyDescent="0.25">
      <c r="C12" s="15" t="s">
        <v>3</v>
      </c>
      <c r="D12" s="15">
        <v>2022</v>
      </c>
      <c r="E12" s="23">
        <v>15</v>
      </c>
      <c r="F12" s="19">
        <f t="shared" si="0"/>
        <v>14.877911130000001</v>
      </c>
      <c r="G12" s="19">
        <f t="shared" si="1"/>
        <v>14.746202376000001</v>
      </c>
      <c r="H12" s="19">
        <f t="shared" si="2"/>
        <v>15.009619884000001</v>
      </c>
      <c r="I12" s="19">
        <f t="shared" si="3"/>
        <v>1.1853787859999994</v>
      </c>
      <c r="J12" s="19">
        <f t="shared" si="4"/>
        <v>15.961988399999985</v>
      </c>
      <c r="K12" s="19">
        <f t="shared" si="6"/>
        <v>-6.4132559999998992E-2</v>
      </c>
      <c r="L12" s="27">
        <f t="shared" si="5"/>
        <v>6.4132559999998992E-2</v>
      </c>
    </row>
    <row r="13" spans="3:14" x14ac:dyDescent="0.25">
      <c r="C13" s="15" t="s">
        <v>5</v>
      </c>
      <c r="D13" s="15">
        <v>2022</v>
      </c>
      <c r="E13" s="23">
        <v>18</v>
      </c>
      <c r="F13" s="19">
        <f t="shared" si="0"/>
        <v>17.687791112999999</v>
      </c>
      <c r="G13" s="19">
        <f t="shared" si="1"/>
        <v>17.3936322393</v>
      </c>
      <c r="H13" s="19">
        <f t="shared" si="2"/>
        <v>17.981949986699998</v>
      </c>
      <c r="I13" s="19">
        <f t="shared" si="3"/>
        <v>2.6474298632999904</v>
      </c>
      <c r="J13" s="19">
        <f t="shared" si="4"/>
        <v>16.19499867</v>
      </c>
      <c r="K13" s="19">
        <f t="shared" si="6"/>
        <v>0.10027785166666664</v>
      </c>
      <c r="L13" s="27">
        <f t="shared" si="5"/>
        <v>0.10027785166666664</v>
      </c>
    </row>
    <row r="14" spans="3:14" x14ac:dyDescent="0.25">
      <c r="C14" s="15" t="s">
        <v>6</v>
      </c>
      <c r="D14" s="15">
        <v>2022</v>
      </c>
      <c r="E14" s="23">
        <v>19</v>
      </c>
      <c r="F14" s="19">
        <f t="shared" si="0"/>
        <v>18.8687791113</v>
      </c>
      <c r="G14" s="19">
        <f t="shared" si="1"/>
        <v>18.721264424099999</v>
      </c>
      <c r="H14" s="19">
        <f t="shared" si="2"/>
        <v>19.016293798500001</v>
      </c>
      <c r="I14" s="19">
        <f t="shared" si="3"/>
        <v>1.3276321848000094</v>
      </c>
      <c r="J14" s="19">
        <f t="shared" si="4"/>
        <v>20.629379849999989</v>
      </c>
      <c r="K14" s="19">
        <f t="shared" si="6"/>
        <v>-8.5756834210525726E-2</v>
      </c>
      <c r="L14" s="27">
        <f t="shared" si="5"/>
        <v>8.5756834210525726E-2</v>
      </c>
    </row>
    <row r="15" spans="3:14" x14ac:dyDescent="0.25">
      <c r="C15" s="15" t="s">
        <v>7</v>
      </c>
      <c r="D15" s="15">
        <v>2022</v>
      </c>
      <c r="E15" s="23">
        <v>20</v>
      </c>
      <c r="F15" s="19">
        <f t="shared" si="0"/>
        <v>19.88687791113</v>
      </c>
      <c r="G15" s="19">
        <f t="shared" si="1"/>
        <v>19.770316562427002</v>
      </c>
      <c r="H15" s="19">
        <f t="shared" si="2"/>
        <v>20.003439259832998</v>
      </c>
      <c r="I15" s="19">
        <f t="shared" si="3"/>
        <v>1.0490521383269815</v>
      </c>
      <c r="J15" s="19">
        <f t="shared" si="4"/>
        <v>20.343925983300011</v>
      </c>
      <c r="K15" s="19">
        <f t="shared" si="6"/>
        <v>-1.7196299165000539E-2</v>
      </c>
      <c r="L15" s="27">
        <f t="shared" si="5"/>
        <v>1.7196299165000539E-2</v>
      </c>
    </row>
    <row r="16" spans="3:14" x14ac:dyDescent="0.25">
      <c r="C16" s="15" t="s">
        <v>8</v>
      </c>
      <c r="D16" s="15">
        <v>2022</v>
      </c>
      <c r="E16" s="23">
        <v>18</v>
      </c>
      <c r="F16" s="19">
        <f t="shared" si="0"/>
        <v>18.188687791113001</v>
      </c>
      <c r="G16" s="19">
        <f t="shared" si="1"/>
        <v>18.346850668244404</v>
      </c>
      <c r="H16" s="19">
        <f t="shared" si="2"/>
        <v>18.030524913981598</v>
      </c>
      <c r="I16" s="19">
        <f t="shared" si="3"/>
        <v>-1.4234658941826268</v>
      </c>
      <c r="J16" s="19">
        <f t="shared" si="4"/>
        <v>21.052491398159979</v>
      </c>
      <c r="K16" s="19">
        <f t="shared" si="6"/>
        <v>-0.16958285545333218</v>
      </c>
      <c r="L16" s="27">
        <f t="shared" si="5"/>
        <v>0.16958285545333218</v>
      </c>
    </row>
    <row r="17" spans="3:12" x14ac:dyDescent="0.25">
      <c r="C17" s="15" t="s">
        <v>9</v>
      </c>
      <c r="D17" s="15">
        <v>2023</v>
      </c>
      <c r="E17" s="23">
        <v>15</v>
      </c>
      <c r="F17" s="19">
        <f t="shared" si="0"/>
        <v>15.3188687791113</v>
      </c>
      <c r="G17" s="19">
        <f t="shared" si="1"/>
        <v>15.621666968024609</v>
      </c>
      <c r="H17" s="19">
        <f t="shared" si="2"/>
        <v>15.016070590197991</v>
      </c>
      <c r="I17" s="19">
        <f t="shared" si="3"/>
        <v>-2.7251837002197821</v>
      </c>
      <c r="J17" s="19">
        <f t="shared" si="4"/>
        <v>16.607059019798971</v>
      </c>
      <c r="K17" s="19">
        <f t="shared" si="6"/>
        <v>-0.10713726798659806</v>
      </c>
      <c r="L17" s="27">
        <f t="shared" si="5"/>
        <v>0.10713726798659806</v>
      </c>
    </row>
    <row r="18" spans="3:12" x14ac:dyDescent="0.25">
      <c r="C18" s="15" t="s">
        <v>10</v>
      </c>
      <c r="D18" s="15">
        <v>2023</v>
      </c>
      <c r="E18" s="23">
        <v>14</v>
      </c>
      <c r="F18" s="19">
        <f t="shared" si="0"/>
        <v>14.13188687791113</v>
      </c>
      <c r="G18" s="19">
        <f t="shared" si="1"/>
        <v>14.280864886922478</v>
      </c>
      <c r="H18" s="19">
        <f t="shared" si="2"/>
        <v>13.982908868899782</v>
      </c>
      <c r="I18" s="19">
        <f t="shared" si="3"/>
        <v>-1.3408020811021295</v>
      </c>
      <c r="J18" s="19">
        <f t="shared" si="4"/>
        <v>12.290886889978209</v>
      </c>
      <c r="K18" s="19">
        <f t="shared" si="6"/>
        <v>0.12207950785869937</v>
      </c>
      <c r="L18" s="27">
        <f t="shared" si="5"/>
        <v>0.12207950785869937</v>
      </c>
    </row>
    <row r="19" spans="3:12" x14ac:dyDescent="0.25">
      <c r="C19" s="15" t="s">
        <v>11</v>
      </c>
      <c r="D19" s="15">
        <v>2023</v>
      </c>
      <c r="E19" s="23">
        <v>12</v>
      </c>
      <c r="F19" s="19">
        <f t="shared" si="0"/>
        <v>12.213188687791114</v>
      </c>
      <c r="G19" s="19">
        <f t="shared" si="1"/>
        <v>12.419956307704251</v>
      </c>
      <c r="H19" s="19">
        <f t="shared" si="2"/>
        <v>12.006421067877977</v>
      </c>
      <c r="I19" s="19">
        <f t="shared" si="3"/>
        <v>-1.8609085792182327</v>
      </c>
      <c r="J19" s="19">
        <f t="shared" si="4"/>
        <v>12.642106787797653</v>
      </c>
      <c r="K19" s="19">
        <f t="shared" si="6"/>
        <v>-5.3508898983137744E-2</v>
      </c>
      <c r="L19" s="27">
        <f t="shared" si="5"/>
        <v>5.3508898983137744E-2</v>
      </c>
    </row>
    <row r="20" spans="3:12" x14ac:dyDescent="0.25">
      <c r="C20" s="15" t="s">
        <v>12</v>
      </c>
      <c r="D20" s="15">
        <v>2023</v>
      </c>
      <c r="E20" s="23">
        <v>10</v>
      </c>
      <c r="F20" s="19">
        <f t="shared" si="0"/>
        <v>10.221318868779111</v>
      </c>
      <c r="G20" s="19">
        <f t="shared" si="1"/>
        <v>10.441182612671625</v>
      </c>
      <c r="H20" s="19">
        <f t="shared" si="2"/>
        <v>10.001455124886597</v>
      </c>
      <c r="I20" s="19">
        <f t="shared" si="3"/>
        <v>-1.9787736950326256</v>
      </c>
      <c r="J20" s="19">
        <f t="shared" si="4"/>
        <v>10.145512488659744</v>
      </c>
      <c r="K20" s="19">
        <f t="shared" si="6"/>
        <v>-1.4551248865974387E-2</v>
      </c>
      <c r="L20" s="27">
        <f t="shared" si="5"/>
        <v>1.4551248865974387E-2</v>
      </c>
    </row>
    <row r="21" spans="3:12" x14ac:dyDescent="0.25">
      <c r="C21" s="15" t="s">
        <v>13</v>
      </c>
      <c r="D21" s="15">
        <v>2023</v>
      </c>
      <c r="E21" s="23">
        <v>10</v>
      </c>
      <c r="F21" s="19">
        <f t="shared" si="0"/>
        <v>10.022131886877911</v>
      </c>
      <c r="G21" s="19">
        <f t="shared" si="1"/>
        <v>10.064036959457283</v>
      </c>
      <c r="H21" s="19">
        <f t="shared" si="2"/>
        <v>9.9802268142985398</v>
      </c>
      <c r="I21" s="19">
        <f t="shared" si="3"/>
        <v>-0.37714565321434534</v>
      </c>
      <c r="J21" s="19">
        <f t="shared" si="4"/>
        <v>8.0226814298539715</v>
      </c>
      <c r="K21" s="19">
        <f t="shared" si="6"/>
        <v>0.19773185701460286</v>
      </c>
      <c r="L21" s="27">
        <f t="shared" si="5"/>
        <v>0.19773185701460286</v>
      </c>
    </row>
    <row r="22" spans="3:12" x14ac:dyDescent="0.25">
      <c r="C22" s="15" t="s">
        <v>2</v>
      </c>
      <c r="D22" s="15">
        <v>2023</v>
      </c>
      <c r="E22" s="23">
        <v>9</v>
      </c>
      <c r="F22" s="19">
        <f t="shared" si="0"/>
        <v>9.1022131886877915</v>
      </c>
      <c r="G22" s="19">
        <f t="shared" si="1"/>
        <v>9.1983955657647414</v>
      </c>
      <c r="H22" s="19">
        <f t="shared" si="2"/>
        <v>9.0060308116108416</v>
      </c>
      <c r="I22" s="19">
        <f t="shared" si="3"/>
        <v>-0.86564139369254889</v>
      </c>
      <c r="J22" s="19">
        <f t="shared" si="4"/>
        <v>9.6030811610841944</v>
      </c>
      <c r="K22" s="19">
        <f t="shared" si="6"/>
        <v>-6.7009017898243817E-2</v>
      </c>
      <c r="L22" s="27">
        <f t="shared" si="5"/>
        <v>6.7009017898243817E-2</v>
      </c>
    </row>
    <row r="23" spans="3:12" x14ac:dyDescent="0.25">
      <c r="C23" s="15" t="s">
        <v>4</v>
      </c>
      <c r="D23" s="15">
        <v>2023</v>
      </c>
      <c r="E23" s="23">
        <v>12</v>
      </c>
      <c r="F23" s="19">
        <f t="shared" si="0"/>
        <v>11.710221318868779</v>
      </c>
      <c r="G23" s="19">
        <f t="shared" si="1"/>
        <v>11.459038743558375</v>
      </c>
      <c r="H23" s="19">
        <f t="shared" si="2"/>
        <v>11.961403894179183</v>
      </c>
      <c r="I23" s="19">
        <f t="shared" si="3"/>
        <v>2.260643177793634</v>
      </c>
      <c r="J23" s="19">
        <f t="shared" si="4"/>
        <v>8.1403894179182927</v>
      </c>
      <c r="K23" s="19">
        <f t="shared" si="6"/>
        <v>0.32163421517347562</v>
      </c>
      <c r="L23" s="27">
        <f t="shared" si="5"/>
        <v>0.32163421517347562</v>
      </c>
    </row>
    <row r="24" spans="3:12" x14ac:dyDescent="0.25">
      <c r="C24" s="15" t="s">
        <v>3</v>
      </c>
      <c r="D24" s="15">
        <v>2023</v>
      </c>
      <c r="E24" s="23">
        <v>15</v>
      </c>
      <c r="F24" s="19">
        <f t="shared" si="0"/>
        <v>14.671022131886877</v>
      </c>
      <c r="G24" s="19">
        <f t="shared" si="1"/>
        <v>14.349823793054028</v>
      </c>
      <c r="H24" s="19">
        <f t="shared" si="2"/>
        <v>14.992220470719726</v>
      </c>
      <c r="I24" s="19">
        <f t="shared" si="3"/>
        <v>2.8907850494956389</v>
      </c>
      <c r="J24" s="19">
        <f t="shared" si="4"/>
        <v>14.222047071972817</v>
      </c>
      <c r="K24" s="19">
        <f t="shared" si="6"/>
        <v>5.1863528535145538E-2</v>
      </c>
      <c r="L24" s="27">
        <f t="shared" si="5"/>
        <v>5.1863528535145538E-2</v>
      </c>
    </row>
    <row r="25" spans="3:12" x14ac:dyDescent="0.25">
      <c r="C25" s="15" t="s">
        <v>5</v>
      </c>
      <c r="D25" s="15">
        <v>2023</v>
      </c>
      <c r="E25" s="23">
        <v>16</v>
      </c>
      <c r="F25" s="19">
        <f t="shared" si="0"/>
        <v>15.867102213188687</v>
      </c>
      <c r="G25" s="19">
        <f t="shared" si="1"/>
        <v>15.715374371175221</v>
      </c>
      <c r="H25" s="19">
        <f t="shared" si="2"/>
        <v>16.018830055202152</v>
      </c>
      <c r="I25" s="19">
        <f t="shared" si="3"/>
        <v>1.3655505781211961</v>
      </c>
      <c r="J25" s="19">
        <f t="shared" si="4"/>
        <v>17.883005520215363</v>
      </c>
      <c r="K25" s="19">
        <f t="shared" si="6"/>
        <v>-0.11768784501346019</v>
      </c>
      <c r="L25" s="27">
        <f t="shared" si="5"/>
        <v>0.11768784501346019</v>
      </c>
    </row>
    <row r="26" spans="3:12" x14ac:dyDescent="0.25">
      <c r="C26" s="15" t="s">
        <v>6</v>
      </c>
      <c r="D26" s="15">
        <v>2023</v>
      </c>
      <c r="E26" s="23">
        <v>16</v>
      </c>
      <c r="F26" s="19">
        <f t="shared" si="0"/>
        <v>15.986710221318869</v>
      </c>
      <c r="G26" s="19">
        <f t="shared" si="1"/>
        <v>15.959576636304504</v>
      </c>
      <c r="H26" s="19">
        <f t="shared" si="2"/>
        <v>16.013843806333234</v>
      </c>
      <c r="I26" s="19">
        <f t="shared" si="3"/>
        <v>0.24420226512928522</v>
      </c>
      <c r="J26" s="19">
        <f t="shared" si="4"/>
        <v>17.384380633323346</v>
      </c>
      <c r="K26" s="19">
        <f t="shared" si="6"/>
        <v>-8.6523789582709121E-2</v>
      </c>
      <c r="L26" s="27">
        <f t="shared" si="5"/>
        <v>8.6523789582709121E-2</v>
      </c>
    </row>
    <row r="27" spans="3:12" x14ac:dyDescent="0.25">
      <c r="C27" s="15" t="s">
        <v>7</v>
      </c>
      <c r="D27" s="15">
        <v>2023</v>
      </c>
      <c r="E27" s="23">
        <v>19</v>
      </c>
      <c r="F27" s="19">
        <f t="shared" si="0"/>
        <v>18.69867102213189</v>
      </c>
      <c r="G27" s="19">
        <f t="shared" si="1"/>
        <v>18.424761583549152</v>
      </c>
      <c r="H27" s="19">
        <f t="shared" si="2"/>
        <v>18.972580460714628</v>
      </c>
      <c r="I27" s="19">
        <f t="shared" si="3"/>
        <v>2.4651849472446408</v>
      </c>
      <c r="J27" s="19">
        <f t="shared" si="4"/>
        <v>16.25804607146252</v>
      </c>
      <c r="K27" s="19">
        <f t="shared" si="6"/>
        <v>0.14431336465986738</v>
      </c>
      <c r="L27" s="27">
        <f t="shared" si="5"/>
        <v>0.14431336465986738</v>
      </c>
    </row>
    <row r="28" spans="3:12" x14ac:dyDescent="0.25">
      <c r="C28" s="15" t="s">
        <v>8</v>
      </c>
      <c r="D28" s="15">
        <v>2023</v>
      </c>
      <c r="E28" s="23">
        <v>20</v>
      </c>
      <c r="F28" s="19">
        <f t="shared" si="0"/>
        <v>19.869867102213188</v>
      </c>
      <c r="G28" s="19">
        <f t="shared" si="1"/>
        <v>19.725356550346785</v>
      </c>
      <c r="H28" s="19">
        <f t="shared" si="2"/>
        <v>20.014377654079592</v>
      </c>
      <c r="I28" s="19">
        <f t="shared" si="3"/>
        <v>1.3005949667976324</v>
      </c>
      <c r="J28" s="19">
        <f t="shared" si="4"/>
        <v>21.437765407959269</v>
      </c>
      <c r="K28" s="19">
        <f t="shared" si="6"/>
        <v>-7.1888270397963444E-2</v>
      </c>
      <c r="L28" s="27">
        <f t="shared" si="5"/>
        <v>7.1888270397963444E-2</v>
      </c>
    </row>
    <row r="29" spans="3:12" x14ac:dyDescent="0.25">
      <c r="C29" s="15" t="s">
        <v>9</v>
      </c>
      <c r="D29" s="15">
        <v>2024</v>
      </c>
      <c r="E29" s="23">
        <v>19</v>
      </c>
      <c r="F29" s="19">
        <f t="shared" si="0"/>
        <v>19.086986710221321</v>
      </c>
      <c r="G29" s="19">
        <f t="shared" si="1"/>
        <v>19.150823694233868</v>
      </c>
      <c r="H29" s="19">
        <f t="shared" si="2"/>
        <v>19.023149726208775</v>
      </c>
      <c r="I29" s="19">
        <f t="shared" si="3"/>
        <v>-0.57453285611291705</v>
      </c>
      <c r="J29" s="19">
        <f t="shared" si="4"/>
        <v>21.314972620877224</v>
      </c>
      <c r="K29" s="19">
        <f t="shared" si="6"/>
        <v>-0.12184066425669601</v>
      </c>
      <c r="L29" s="27">
        <f t="shared" si="5"/>
        <v>0.12184066425669601</v>
      </c>
    </row>
    <row r="30" spans="3:12" x14ac:dyDescent="0.25">
      <c r="C30" s="15" t="s">
        <v>10</v>
      </c>
      <c r="D30" s="15">
        <v>2024</v>
      </c>
      <c r="E30" s="23">
        <v>13</v>
      </c>
      <c r="F30" s="19">
        <f t="shared" si="0"/>
        <v>13.608698671022132</v>
      </c>
      <c r="G30" s="19">
        <f t="shared" si="1"/>
        <v>14.162911173343307</v>
      </c>
      <c r="H30" s="19">
        <f t="shared" si="2"/>
        <v>13.054486168700958</v>
      </c>
      <c r="I30" s="19">
        <f t="shared" si="3"/>
        <v>-4.9879125208905712</v>
      </c>
      <c r="J30" s="19">
        <f t="shared" si="4"/>
        <v>18.448616870095858</v>
      </c>
      <c r="K30" s="19">
        <f t="shared" si="6"/>
        <v>-0.41912437462275831</v>
      </c>
      <c r="L30" s="27">
        <f t="shared" si="5"/>
        <v>0.41912437462275831</v>
      </c>
    </row>
    <row r="31" spans="3:12" x14ac:dyDescent="0.25">
      <c r="C31" s="15" t="s">
        <v>11</v>
      </c>
      <c r="D31" s="15">
        <v>2024</v>
      </c>
      <c r="E31" s="23">
        <v>12</v>
      </c>
      <c r="F31" s="19">
        <f t="shared" si="0"/>
        <v>12.160869867102214</v>
      </c>
      <c r="G31" s="19">
        <f t="shared" si="1"/>
        <v>12.361073997726322</v>
      </c>
      <c r="H31" s="19">
        <f t="shared" si="2"/>
        <v>11.960665736478106</v>
      </c>
      <c r="I31" s="19">
        <f t="shared" si="3"/>
        <v>-1.8018371756169742</v>
      </c>
      <c r="J31" s="19">
        <f t="shared" si="4"/>
        <v>8.0665736478103867</v>
      </c>
      <c r="K31" s="19">
        <f t="shared" si="6"/>
        <v>0.32778552934913446</v>
      </c>
      <c r="L31" s="27">
        <f t="shared" si="5"/>
        <v>0.32778552934913446</v>
      </c>
    </row>
    <row r="32" spans="3:12" x14ac:dyDescent="0.25">
      <c r="C32" s="15" t="s">
        <v>12</v>
      </c>
      <c r="D32" s="15">
        <v>2024</v>
      </c>
      <c r="E32" s="23">
        <v>10</v>
      </c>
      <c r="F32" s="19">
        <f t="shared" si="0"/>
        <v>10.216086986710222</v>
      </c>
      <c r="G32" s="19">
        <f t="shared" si="1"/>
        <v>10.430585687811831</v>
      </c>
      <c r="H32" s="19">
        <f t="shared" si="2"/>
        <v>10.001588285608612</v>
      </c>
      <c r="I32" s="19">
        <f t="shared" si="3"/>
        <v>-1.9304883099144856</v>
      </c>
      <c r="J32" s="19">
        <f t="shared" si="4"/>
        <v>10.158828560861132</v>
      </c>
      <c r="K32" s="19">
        <f t="shared" si="6"/>
        <v>-1.5882856086113152E-2</v>
      </c>
      <c r="L32" s="27">
        <f t="shared" si="5"/>
        <v>1.5882856086113152E-2</v>
      </c>
    </row>
    <row r="33" spans="3:14" x14ac:dyDescent="0.25">
      <c r="C33" s="15" t="s">
        <v>13</v>
      </c>
      <c r="D33" s="15">
        <v>2024</v>
      </c>
      <c r="E33" s="23">
        <v>10</v>
      </c>
      <c r="F33" s="19">
        <f t="shared" si="0"/>
        <v>10.021608698671022</v>
      </c>
      <c r="G33" s="19">
        <f t="shared" si="1"/>
        <v>10.062506397585102</v>
      </c>
      <c r="H33" s="19">
        <f t="shared" si="2"/>
        <v>9.9807109997569423</v>
      </c>
      <c r="I33" s="19">
        <f t="shared" si="3"/>
        <v>-0.36807929022671715</v>
      </c>
      <c r="J33" s="19">
        <f t="shared" si="4"/>
        <v>8.0710999756941266</v>
      </c>
      <c r="K33" s="19">
        <f t="shared" si="6"/>
        <v>0.19289000243058735</v>
      </c>
      <c r="L33" s="27">
        <f t="shared" si="5"/>
        <v>0.19289000243058735</v>
      </c>
    </row>
    <row r="34" spans="3:14" x14ac:dyDescent="0.25">
      <c r="C34" s="15" t="s">
        <v>2</v>
      </c>
      <c r="D34" s="15">
        <v>2024</v>
      </c>
      <c r="E34" s="23">
        <v>12</v>
      </c>
      <c r="F34" s="19">
        <f t="shared" si="0"/>
        <v>11.802160869867103</v>
      </c>
      <c r="G34" s="19">
        <f t="shared" si="1"/>
        <v>11.628195422638903</v>
      </c>
      <c r="H34" s="19">
        <f t="shared" si="2"/>
        <v>11.976126317095304</v>
      </c>
      <c r="I34" s="19">
        <f t="shared" si="3"/>
        <v>1.5656890250538016</v>
      </c>
      <c r="J34" s="19">
        <f t="shared" si="4"/>
        <v>9.6126317095302252</v>
      </c>
      <c r="K34" s="19">
        <f t="shared" si="6"/>
        <v>0.19894735753914791</v>
      </c>
      <c r="L34" s="27">
        <f t="shared" si="5"/>
        <v>0.19894735753914791</v>
      </c>
    </row>
    <row r="35" spans="3:14" x14ac:dyDescent="0.25">
      <c r="C35" s="15" t="s">
        <v>4</v>
      </c>
      <c r="D35" s="15">
        <v>2024</v>
      </c>
      <c r="E35" s="23">
        <v>13</v>
      </c>
      <c r="F35" s="19">
        <f t="shared" si="0"/>
        <v>12.880216086986712</v>
      </c>
      <c r="G35" s="19">
        <f t="shared" si="1"/>
        <v>12.755014020551931</v>
      </c>
      <c r="H35" s="19">
        <f t="shared" si="2"/>
        <v>13.005418153421493</v>
      </c>
      <c r="I35" s="19">
        <f t="shared" si="3"/>
        <v>1.1268185979130294</v>
      </c>
      <c r="J35" s="19">
        <f t="shared" si="4"/>
        <v>13.541815342149105</v>
      </c>
      <c r="K35" s="19">
        <f t="shared" si="6"/>
        <v>-4.1678103242238862E-2</v>
      </c>
      <c r="L35" s="27">
        <f t="shared" si="5"/>
        <v>4.1678103242238862E-2</v>
      </c>
    </row>
    <row r="36" spans="3:14" x14ac:dyDescent="0.25">
      <c r="C36" s="15" t="s">
        <v>3</v>
      </c>
      <c r="D36" s="15">
        <v>2024</v>
      </c>
      <c r="E36" s="23">
        <v>15</v>
      </c>
      <c r="F36" s="19">
        <f t="shared" si="0"/>
        <v>14.788021608698671</v>
      </c>
      <c r="G36" s="19">
        <f t="shared" si="1"/>
        <v>14.584720849883997</v>
      </c>
      <c r="H36" s="19">
        <f t="shared" si="2"/>
        <v>14.991322367513344</v>
      </c>
      <c r="I36" s="19">
        <f t="shared" si="3"/>
        <v>1.8297068293320642</v>
      </c>
      <c r="J36" s="19">
        <f t="shared" si="4"/>
        <v>14.132236751334522</v>
      </c>
      <c r="K36" s="19">
        <f t="shared" si="6"/>
        <v>5.7850883244365173E-2</v>
      </c>
      <c r="L36" s="27">
        <f t="shared" si="5"/>
        <v>5.7850883244365173E-2</v>
      </c>
    </row>
    <row r="37" spans="3:14" x14ac:dyDescent="0.25">
      <c r="C37" s="15" t="s">
        <v>5</v>
      </c>
      <c r="D37" s="15">
        <v>2024</v>
      </c>
      <c r="E37" s="23">
        <v>15</v>
      </c>
      <c r="F37" s="19">
        <f t="shared" si="0"/>
        <v>14.978802160869867</v>
      </c>
      <c r="G37" s="19">
        <f t="shared" si="1"/>
        <v>14.939394029771279</v>
      </c>
      <c r="H37" s="19">
        <f t="shared" si="2"/>
        <v>15.018210291968455</v>
      </c>
      <c r="I37" s="19">
        <f t="shared" si="3"/>
        <v>0.35467317988729086</v>
      </c>
      <c r="J37" s="19">
        <f t="shared" si="4"/>
        <v>16.821029196845409</v>
      </c>
      <c r="K37" s="19">
        <f t="shared" si="6"/>
        <v>-0.12140194645636057</v>
      </c>
      <c r="L37" s="27">
        <f t="shared" si="5"/>
        <v>0.12140194645636057</v>
      </c>
    </row>
    <row r="38" spans="3:14" x14ac:dyDescent="0.25">
      <c r="C38" s="15" t="s">
        <v>6</v>
      </c>
      <c r="D38" s="15">
        <v>2024</v>
      </c>
      <c r="E38" s="23">
        <v>18</v>
      </c>
      <c r="F38" s="19">
        <f t="shared" si="0"/>
        <v>17.697880216086986</v>
      </c>
      <c r="G38" s="19">
        <f t="shared" si="1"/>
        <v>17.422031597455415</v>
      </c>
      <c r="H38" s="19">
        <f t="shared" si="2"/>
        <v>17.973728834718557</v>
      </c>
      <c r="I38" s="19">
        <f t="shared" si="3"/>
        <v>2.4826375676841366</v>
      </c>
      <c r="J38" s="19">
        <f t="shared" si="4"/>
        <v>15.372883471855745</v>
      </c>
      <c r="K38" s="19">
        <f t="shared" si="6"/>
        <v>0.14595091823023637</v>
      </c>
      <c r="L38" s="27">
        <f t="shared" si="5"/>
        <v>0.14595091823023637</v>
      </c>
    </row>
    <row r="39" spans="3:14" x14ac:dyDescent="0.25">
      <c r="C39" s="15" t="s">
        <v>7</v>
      </c>
      <c r="D39" s="15">
        <v>2024</v>
      </c>
      <c r="E39" s="23">
        <v>20</v>
      </c>
      <c r="F39" s="19">
        <f t="shared" si="0"/>
        <v>19.769788021608697</v>
      </c>
      <c r="G39" s="19">
        <f t="shared" si="1"/>
        <v>19.535012379193372</v>
      </c>
      <c r="H39" s="19">
        <f t="shared" si="2"/>
        <v>20.004563664024023</v>
      </c>
      <c r="I39" s="19">
        <f t="shared" si="3"/>
        <v>2.112980781737928</v>
      </c>
      <c r="J39" s="19">
        <f t="shared" si="4"/>
        <v>20.456366402402693</v>
      </c>
      <c r="K39" s="19">
        <f t="shared" si="6"/>
        <v>-2.2818320120134673E-2</v>
      </c>
      <c r="L39" s="27">
        <f t="shared" si="5"/>
        <v>2.2818320120134673E-2</v>
      </c>
    </row>
    <row r="40" spans="3:14" x14ac:dyDescent="0.25">
      <c r="C40" s="21" t="s">
        <v>8</v>
      </c>
      <c r="D40" s="21">
        <v>2024</v>
      </c>
      <c r="E40" s="24"/>
      <c r="F40" s="8"/>
      <c r="G40" s="8"/>
      <c r="H40" s="8"/>
      <c r="I40" s="8"/>
      <c r="J40" s="8">
        <f>H39+I39</f>
        <v>22.117544445761951</v>
      </c>
      <c r="K40" s="8" t="s">
        <v>21</v>
      </c>
      <c r="L40" s="28">
        <f>100/36*SUM(L5:L39)</f>
        <v>11.690599246247867</v>
      </c>
    </row>
    <row r="43" spans="3:14" x14ac:dyDescent="0.25">
      <c r="C43" s="18" t="s">
        <v>0</v>
      </c>
      <c r="D43" s="18" t="s">
        <v>1</v>
      </c>
      <c r="E43" s="18" t="s">
        <v>22</v>
      </c>
      <c r="F43" s="18" t="s">
        <v>14</v>
      </c>
      <c r="G43" s="18" t="s">
        <v>15</v>
      </c>
      <c r="H43" s="18" t="s">
        <v>16</v>
      </c>
      <c r="I43" s="18" t="s">
        <v>17</v>
      </c>
      <c r="J43" s="18" t="s">
        <v>18</v>
      </c>
      <c r="K43" s="18" t="s">
        <v>19</v>
      </c>
      <c r="L43" s="26" t="s">
        <v>20</v>
      </c>
      <c r="N43" s="11">
        <v>0.8</v>
      </c>
    </row>
    <row r="44" spans="3:14" x14ac:dyDescent="0.25">
      <c r="C44" s="15" t="s">
        <v>8</v>
      </c>
      <c r="D44" s="15">
        <v>2021</v>
      </c>
      <c r="E44" s="23">
        <v>15</v>
      </c>
      <c r="F44" s="23">
        <v>15</v>
      </c>
      <c r="G44" s="23">
        <v>15</v>
      </c>
      <c r="H44" s="23">
        <v>15</v>
      </c>
      <c r="I44" s="19">
        <v>0</v>
      </c>
      <c r="J44" s="19"/>
      <c r="K44" s="19"/>
      <c r="L44" s="27"/>
      <c r="N44" s="11">
        <v>0.2</v>
      </c>
    </row>
    <row r="45" spans="3:14" x14ac:dyDescent="0.25">
      <c r="C45" s="15" t="s">
        <v>9</v>
      </c>
      <c r="D45" s="15">
        <v>2022</v>
      </c>
      <c r="E45" s="23">
        <v>12</v>
      </c>
      <c r="F45" s="19">
        <f>($N$43)*E45+($N$44)*F44</f>
        <v>12.600000000000001</v>
      </c>
      <c r="G45" s="19">
        <f>($N$43)*F45+($N$44)*G44</f>
        <v>13.080000000000002</v>
      </c>
      <c r="H45" s="19">
        <f>2*(F45)-(G45)</f>
        <v>12.120000000000001</v>
      </c>
      <c r="I45" s="19">
        <f>$N$43/$N$44*(F45-G45)</f>
        <v>-1.9200000000000017</v>
      </c>
      <c r="J45" s="19">
        <f>H44+I44</f>
        <v>15</v>
      </c>
      <c r="K45" s="19">
        <f>(E45-J45)/E45</f>
        <v>-0.25</v>
      </c>
      <c r="L45" s="27">
        <f>ABS(K45)</f>
        <v>0.25</v>
      </c>
    </row>
    <row r="46" spans="3:14" x14ac:dyDescent="0.25">
      <c r="C46" s="15" t="s">
        <v>10</v>
      </c>
      <c r="D46" s="15">
        <v>2022</v>
      </c>
      <c r="E46" s="23">
        <v>11</v>
      </c>
      <c r="F46" s="19">
        <f t="shared" ref="F46:G46" si="7">($N$43)*E46+($N$44)*F45</f>
        <v>11.32</v>
      </c>
      <c r="G46" s="19">
        <f t="shared" si="7"/>
        <v>11.672000000000001</v>
      </c>
      <c r="H46" s="19">
        <f t="shared" ref="H46:H79" si="8">2*(F46)-(G46)</f>
        <v>10.968</v>
      </c>
      <c r="I46" s="19">
        <f t="shared" ref="I46:I79" si="9">$N$43/$N$44*(F46-G46)</f>
        <v>-1.4080000000000013</v>
      </c>
      <c r="J46" s="19">
        <f t="shared" ref="J46:J79" si="10">H45+I45</f>
        <v>10.199999999999999</v>
      </c>
      <c r="K46" s="19">
        <f t="shared" ref="K46:K79" si="11">(E46-J46)/E46</f>
        <v>7.2727272727272793E-2</v>
      </c>
      <c r="L46" s="27">
        <f t="shared" ref="L46" si="12">ABS(K46)</f>
        <v>7.2727272727272793E-2</v>
      </c>
      <c r="N46" t="s">
        <v>35</v>
      </c>
    </row>
    <row r="47" spans="3:14" x14ac:dyDescent="0.25">
      <c r="C47" s="15" t="s">
        <v>11</v>
      </c>
      <c r="D47" s="15">
        <v>2022</v>
      </c>
      <c r="E47" s="23">
        <v>10</v>
      </c>
      <c r="F47" s="19">
        <f t="shared" ref="F47:G47" si="13">($N$43)*E47+($N$44)*F46</f>
        <v>10.263999999999999</v>
      </c>
      <c r="G47" s="19">
        <f t="shared" si="13"/>
        <v>10.5456</v>
      </c>
      <c r="H47" s="19">
        <f t="shared" si="8"/>
        <v>9.9823999999999984</v>
      </c>
      <c r="I47" s="19">
        <f t="shared" si="9"/>
        <v>-1.1264000000000038</v>
      </c>
      <c r="J47" s="19">
        <f t="shared" si="10"/>
        <v>9.5599999999999987</v>
      </c>
      <c r="K47" s="19">
        <f t="shared" si="11"/>
        <v>4.4000000000000129E-2</v>
      </c>
      <c r="L47" s="27">
        <f>ABS(K47)</f>
        <v>4.4000000000000129E-2</v>
      </c>
    </row>
    <row r="48" spans="3:14" x14ac:dyDescent="0.25">
      <c r="C48" s="15" t="s">
        <v>12</v>
      </c>
      <c r="D48" s="15">
        <v>2022</v>
      </c>
      <c r="E48" s="23">
        <v>9</v>
      </c>
      <c r="F48" s="19">
        <f t="shared" ref="F48:G48" si="14">($N$43)*E48+($N$44)*F47</f>
        <v>9.2528000000000006</v>
      </c>
      <c r="G48" s="19">
        <f t="shared" si="14"/>
        <v>9.5113600000000016</v>
      </c>
      <c r="H48" s="19">
        <f t="shared" si="8"/>
        <v>8.9942399999999996</v>
      </c>
      <c r="I48" s="19">
        <f t="shared" si="9"/>
        <v>-1.034240000000004</v>
      </c>
      <c r="J48" s="19">
        <f t="shared" si="10"/>
        <v>8.8559999999999945</v>
      </c>
      <c r="K48" s="19">
        <f t="shared" si="11"/>
        <v>1.6000000000000607E-2</v>
      </c>
      <c r="L48" s="27">
        <f t="shared" ref="L48:L79" si="15">ABS(K48)</f>
        <v>1.6000000000000607E-2</v>
      </c>
    </row>
    <row r="49" spans="3:12" x14ac:dyDescent="0.25">
      <c r="C49" s="15" t="s">
        <v>13</v>
      </c>
      <c r="D49" s="15">
        <v>2022</v>
      </c>
      <c r="E49" s="23">
        <v>10</v>
      </c>
      <c r="F49" s="19">
        <f t="shared" ref="F49:G49" si="16">($N$43)*E49+($N$44)*F48</f>
        <v>9.8505599999999998</v>
      </c>
      <c r="G49" s="19">
        <f t="shared" si="16"/>
        <v>9.7827200000000012</v>
      </c>
      <c r="H49" s="19">
        <f t="shared" si="8"/>
        <v>9.9183999999999983</v>
      </c>
      <c r="I49" s="19">
        <f t="shared" si="9"/>
        <v>0.27135999999999427</v>
      </c>
      <c r="J49" s="19">
        <f t="shared" si="10"/>
        <v>7.9599999999999955</v>
      </c>
      <c r="K49" s="19">
        <f t="shared" si="11"/>
        <v>0.20400000000000046</v>
      </c>
      <c r="L49" s="27">
        <f t="shared" si="15"/>
        <v>0.20400000000000046</v>
      </c>
    </row>
    <row r="50" spans="3:12" x14ac:dyDescent="0.25">
      <c r="C50" s="15" t="s">
        <v>2</v>
      </c>
      <c r="D50" s="15">
        <v>2022</v>
      </c>
      <c r="E50" s="23">
        <v>12</v>
      </c>
      <c r="F50" s="19">
        <f t="shared" ref="F50:G50" si="17">($N$43)*E50+($N$44)*F49</f>
        <v>11.570112000000002</v>
      </c>
      <c r="G50" s="19">
        <f t="shared" si="17"/>
        <v>11.212633600000002</v>
      </c>
      <c r="H50" s="19">
        <f t="shared" si="8"/>
        <v>11.927590400000001</v>
      </c>
      <c r="I50" s="19">
        <f t="shared" si="9"/>
        <v>1.429913599999999</v>
      </c>
      <c r="J50" s="19">
        <f t="shared" si="10"/>
        <v>10.189759999999993</v>
      </c>
      <c r="K50" s="19">
        <f t="shared" si="11"/>
        <v>0.15085333333333395</v>
      </c>
      <c r="L50" s="27">
        <f t="shared" si="15"/>
        <v>0.15085333333333395</v>
      </c>
    </row>
    <row r="51" spans="3:12" x14ac:dyDescent="0.25">
      <c r="C51" s="15" t="s">
        <v>4</v>
      </c>
      <c r="D51" s="15">
        <v>2022</v>
      </c>
      <c r="E51" s="23">
        <v>14</v>
      </c>
      <c r="F51" s="19">
        <f t="shared" ref="F51:G51" si="18">($N$43)*E51+($N$44)*F50</f>
        <v>13.514022400000002</v>
      </c>
      <c r="G51" s="19">
        <f t="shared" si="18"/>
        <v>13.053744640000003</v>
      </c>
      <c r="H51" s="19">
        <f t="shared" si="8"/>
        <v>13.97430016</v>
      </c>
      <c r="I51" s="19">
        <f t="shared" si="9"/>
        <v>1.8411110399999941</v>
      </c>
      <c r="J51" s="19">
        <f t="shared" si="10"/>
        <v>13.357504</v>
      </c>
      <c r="K51" s="19">
        <f t="shared" si="11"/>
        <v>4.5892571428571394E-2</v>
      </c>
      <c r="L51" s="27">
        <f t="shared" si="15"/>
        <v>4.5892571428571394E-2</v>
      </c>
    </row>
    <row r="52" spans="3:12" x14ac:dyDescent="0.25">
      <c r="C52" s="15" t="s">
        <v>3</v>
      </c>
      <c r="D52" s="15">
        <v>2022</v>
      </c>
      <c r="E52" s="23">
        <v>15</v>
      </c>
      <c r="F52" s="19">
        <f t="shared" ref="F52:G52" si="19">($N$43)*E52+($N$44)*F51</f>
        <v>14.702804480000001</v>
      </c>
      <c r="G52" s="19">
        <f t="shared" si="19"/>
        <v>14.372992512000003</v>
      </c>
      <c r="H52" s="19">
        <f t="shared" si="8"/>
        <v>15.032616447999999</v>
      </c>
      <c r="I52" s="19">
        <f t="shared" si="9"/>
        <v>1.3192478719999912</v>
      </c>
      <c r="J52" s="19">
        <f t="shared" si="10"/>
        <v>15.815411199999994</v>
      </c>
      <c r="K52" s="19">
        <f t="shared" si="11"/>
        <v>-5.43607466666663E-2</v>
      </c>
      <c r="L52" s="27">
        <f t="shared" si="15"/>
        <v>5.43607466666663E-2</v>
      </c>
    </row>
    <row r="53" spans="3:12" x14ac:dyDescent="0.25">
      <c r="C53" s="15" t="s">
        <v>5</v>
      </c>
      <c r="D53" s="15">
        <v>2022</v>
      </c>
      <c r="E53" s="23">
        <v>18</v>
      </c>
      <c r="F53" s="19">
        <f t="shared" ref="F53:G53" si="20">($N$43)*E53+($N$44)*F52</f>
        <v>17.340560896</v>
      </c>
      <c r="G53" s="19">
        <f t="shared" si="20"/>
        <v>16.747047219200002</v>
      </c>
      <c r="H53" s="19">
        <f t="shared" si="8"/>
        <v>17.934074572799997</v>
      </c>
      <c r="I53" s="19">
        <f t="shared" si="9"/>
        <v>2.3740547071999885</v>
      </c>
      <c r="J53" s="19">
        <f t="shared" si="10"/>
        <v>16.35186431999999</v>
      </c>
      <c r="K53" s="19">
        <f t="shared" si="11"/>
        <v>9.1563093333333886E-2</v>
      </c>
      <c r="L53" s="27">
        <f t="shared" si="15"/>
        <v>9.1563093333333886E-2</v>
      </c>
    </row>
    <row r="54" spans="3:12" x14ac:dyDescent="0.25">
      <c r="C54" s="15" t="s">
        <v>6</v>
      </c>
      <c r="D54" s="15">
        <v>2022</v>
      </c>
      <c r="E54" s="23">
        <v>19</v>
      </c>
      <c r="F54" s="19">
        <f t="shared" ref="F54:G54" si="21">($N$43)*E54+($N$44)*F53</f>
        <v>18.668112179200001</v>
      </c>
      <c r="G54" s="19">
        <f t="shared" si="21"/>
        <v>18.283899187200003</v>
      </c>
      <c r="H54" s="19">
        <f t="shared" si="8"/>
        <v>19.0523251712</v>
      </c>
      <c r="I54" s="19">
        <f t="shared" si="9"/>
        <v>1.5368519679999935</v>
      </c>
      <c r="J54" s="19">
        <f t="shared" si="10"/>
        <v>20.308129279999985</v>
      </c>
      <c r="K54" s="19">
        <f t="shared" si="11"/>
        <v>-6.8848909473683426E-2</v>
      </c>
      <c r="L54" s="27">
        <f t="shared" si="15"/>
        <v>6.8848909473683426E-2</v>
      </c>
    </row>
    <row r="55" spans="3:12" x14ac:dyDescent="0.25">
      <c r="C55" s="15" t="s">
        <v>7</v>
      </c>
      <c r="D55" s="15">
        <v>2022</v>
      </c>
      <c r="E55" s="23">
        <v>20</v>
      </c>
      <c r="F55" s="19">
        <f t="shared" ref="F55:G55" si="22">($N$43)*E55+($N$44)*F54</f>
        <v>19.733622435840001</v>
      </c>
      <c r="G55" s="19">
        <f t="shared" si="22"/>
        <v>19.443677786112001</v>
      </c>
      <c r="H55" s="19">
        <f t="shared" si="8"/>
        <v>20.023567085568001</v>
      </c>
      <c r="I55" s="19">
        <f t="shared" si="9"/>
        <v>1.1597785989119984</v>
      </c>
      <c r="J55" s="19">
        <f t="shared" si="10"/>
        <v>20.589177139199993</v>
      </c>
      <c r="K55" s="19">
        <f t="shared" si="11"/>
        <v>-2.9458856959999658E-2</v>
      </c>
      <c r="L55" s="27">
        <f t="shared" si="15"/>
        <v>2.9458856959999658E-2</v>
      </c>
    </row>
    <row r="56" spans="3:12" x14ac:dyDescent="0.25">
      <c r="C56" s="15" t="s">
        <v>8</v>
      </c>
      <c r="D56" s="15">
        <v>2022</v>
      </c>
      <c r="E56" s="23">
        <v>18</v>
      </c>
      <c r="F56" s="19">
        <f t="shared" ref="F56:G56" si="23">($N$43)*E56+($N$44)*F55</f>
        <v>18.346724487168</v>
      </c>
      <c r="G56" s="19">
        <f t="shared" si="23"/>
        <v>18.5661151469568</v>
      </c>
      <c r="H56" s="19">
        <f t="shared" si="8"/>
        <v>18.1273338273792</v>
      </c>
      <c r="I56" s="19">
        <f t="shared" si="9"/>
        <v>-0.87756263915520094</v>
      </c>
      <c r="J56" s="19">
        <f t="shared" si="10"/>
        <v>21.183345684479999</v>
      </c>
      <c r="K56" s="19">
        <f t="shared" si="11"/>
        <v>-0.17685253802666662</v>
      </c>
      <c r="L56" s="27">
        <f t="shared" si="15"/>
        <v>0.17685253802666662</v>
      </c>
    </row>
    <row r="57" spans="3:12" x14ac:dyDescent="0.25">
      <c r="C57" s="15" t="s">
        <v>9</v>
      </c>
      <c r="D57" s="15">
        <v>2023</v>
      </c>
      <c r="E57" s="23">
        <v>15</v>
      </c>
      <c r="F57" s="19">
        <f t="shared" ref="F57:G57" si="24">($N$43)*E57+($N$44)*F56</f>
        <v>15.6693448974336</v>
      </c>
      <c r="G57" s="19">
        <f t="shared" si="24"/>
        <v>16.248698947338241</v>
      </c>
      <c r="H57" s="19">
        <f t="shared" si="8"/>
        <v>15.089990847528959</v>
      </c>
      <c r="I57" s="19">
        <f t="shared" si="9"/>
        <v>-2.3174161996185632</v>
      </c>
      <c r="J57" s="19">
        <f t="shared" si="10"/>
        <v>17.249771188223999</v>
      </c>
      <c r="K57" s="19">
        <f t="shared" si="11"/>
        <v>-0.14998474588159993</v>
      </c>
      <c r="L57" s="27">
        <f t="shared" si="15"/>
        <v>0.14998474588159993</v>
      </c>
    </row>
    <row r="58" spans="3:12" x14ac:dyDescent="0.25">
      <c r="C58" s="15" t="s">
        <v>10</v>
      </c>
      <c r="D58" s="15">
        <v>2023</v>
      </c>
      <c r="E58" s="23">
        <v>14</v>
      </c>
      <c r="F58" s="19">
        <f t="shared" ref="F58:G58" si="25">($N$43)*E58+($N$44)*F57</f>
        <v>14.333868979486722</v>
      </c>
      <c r="G58" s="19">
        <f t="shared" si="25"/>
        <v>14.716834973057027</v>
      </c>
      <c r="H58" s="19">
        <f t="shared" si="8"/>
        <v>13.950902985916416</v>
      </c>
      <c r="I58" s="19">
        <f t="shared" si="9"/>
        <v>-1.5318639742812223</v>
      </c>
      <c r="J58" s="19">
        <f t="shared" si="10"/>
        <v>12.772574647910396</v>
      </c>
      <c r="K58" s="19">
        <f t="shared" si="11"/>
        <v>8.7673239434971711E-2</v>
      </c>
      <c r="L58" s="27">
        <f t="shared" si="15"/>
        <v>8.7673239434971711E-2</v>
      </c>
    </row>
    <row r="59" spans="3:12" x14ac:dyDescent="0.25">
      <c r="C59" s="15" t="s">
        <v>11</v>
      </c>
      <c r="D59" s="15">
        <v>2023</v>
      </c>
      <c r="E59" s="23">
        <v>12</v>
      </c>
      <c r="F59" s="19">
        <f t="shared" ref="F59:G59" si="26">($N$43)*E59+($N$44)*F58</f>
        <v>12.466773795897346</v>
      </c>
      <c r="G59" s="19">
        <f t="shared" si="26"/>
        <v>12.916786031329284</v>
      </c>
      <c r="H59" s="19">
        <f t="shared" si="8"/>
        <v>12.016761560465408</v>
      </c>
      <c r="I59" s="19">
        <f t="shared" si="9"/>
        <v>-1.8000489417277521</v>
      </c>
      <c r="J59" s="19">
        <f t="shared" si="10"/>
        <v>12.419039011635194</v>
      </c>
      <c r="K59" s="19">
        <f t="shared" si="11"/>
        <v>-3.4919917636266153E-2</v>
      </c>
      <c r="L59" s="27">
        <f t="shared" si="15"/>
        <v>3.4919917636266153E-2</v>
      </c>
    </row>
    <row r="60" spans="3:12" x14ac:dyDescent="0.25">
      <c r="C60" s="15" t="s">
        <v>12</v>
      </c>
      <c r="D60" s="15">
        <v>2023</v>
      </c>
      <c r="E60" s="23">
        <v>10</v>
      </c>
      <c r="F60" s="19">
        <f t="shared" ref="F60:G60" si="27">($N$43)*E60+($N$44)*F59</f>
        <v>10.49335475917947</v>
      </c>
      <c r="G60" s="19">
        <f t="shared" si="27"/>
        <v>10.978041013609433</v>
      </c>
      <c r="H60" s="19">
        <f t="shared" si="8"/>
        <v>10.008668504749506</v>
      </c>
      <c r="I60" s="19">
        <f t="shared" si="9"/>
        <v>-1.9387450177198531</v>
      </c>
      <c r="J60" s="19">
        <f t="shared" si="10"/>
        <v>10.216712618737656</v>
      </c>
      <c r="K60" s="19">
        <f t="shared" si="11"/>
        <v>-2.1671261873765602E-2</v>
      </c>
      <c r="L60" s="27">
        <f t="shared" si="15"/>
        <v>2.1671261873765602E-2</v>
      </c>
    </row>
    <row r="61" spans="3:12" x14ac:dyDescent="0.25">
      <c r="C61" s="15" t="s">
        <v>13</v>
      </c>
      <c r="D61" s="15">
        <v>2023</v>
      </c>
      <c r="E61" s="23">
        <v>10</v>
      </c>
      <c r="F61" s="19">
        <f t="shared" ref="F61:G61" si="28">($N$43)*E61+($N$44)*F60</f>
        <v>10.098670951835894</v>
      </c>
      <c r="G61" s="19">
        <f t="shared" si="28"/>
        <v>10.274544964190603</v>
      </c>
      <c r="H61" s="19">
        <f t="shared" si="8"/>
        <v>9.9227969394811844</v>
      </c>
      <c r="I61" s="19">
        <f t="shared" si="9"/>
        <v>-0.70349604941883825</v>
      </c>
      <c r="J61" s="19">
        <f t="shared" si="10"/>
        <v>8.0699234870296532</v>
      </c>
      <c r="K61" s="19">
        <f t="shared" si="11"/>
        <v>0.19300765129703468</v>
      </c>
      <c r="L61" s="27">
        <f t="shared" si="15"/>
        <v>0.19300765129703468</v>
      </c>
    </row>
    <row r="62" spans="3:12" x14ac:dyDescent="0.25">
      <c r="C62" s="15" t="s">
        <v>2</v>
      </c>
      <c r="D62" s="15">
        <v>2023</v>
      </c>
      <c r="E62" s="23">
        <v>9</v>
      </c>
      <c r="F62" s="19">
        <f t="shared" ref="F62:G62" si="29">($N$43)*E62+($N$44)*F61</f>
        <v>9.2197341903671788</v>
      </c>
      <c r="G62" s="19">
        <f t="shared" si="29"/>
        <v>9.4306963451318637</v>
      </c>
      <c r="H62" s="19">
        <f t="shared" si="8"/>
        <v>9.0087720356024938</v>
      </c>
      <c r="I62" s="19">
        <f t="shared" si="9"/>
        <v>-0.84384861905873976</v>
      </c>
      <c r="J62" s="19">
        <f t="shared" si="10"/>
        <v>9.2193008900623461</v>
      </c>
      <c r="K62" s="19">
        <f t="shared" si="11"/>
        <v>-2.4366765562482899E-2</v>
      </c>
      <c r="L62" s="27">
        <f t="shared" si="15"/>
        <v>2.4366765562482899E-2</v>
      </c>
    </row>
    <row r="63" spans="3:12" x14ac:dyDescent="0.25">
      <c r="C63" s="15" t="s">
        <v>4</v>
      </c>
      <c r="D63" s="15">
        <v>2023</v>
      </c>
      <c r="E63" s="23">
        <v>12</v>
      </c>
      <c r="F63" s="19">
        <f t="shared" ref="F63:G63" si="30">($N$43)*E63+($N$44)*F62</f>
        <v>11.443946838073437</v>
      </c>
      <c r="G63" s="19">
        <f t="shared" si="30"/>
        <v>11.041296739485123</v>
      </c>
      <c r="H63" s="19">
        <f t="shared" si="8"/>
        <v>11.846596936661751</v>
      </c>
      <c r="I63" s="19">
        <f t="shared" si="9"/>
        <v>1.6106003943532556</v>
      </c>
      <c r="J63" s="19">
        <f t="shared" si="10"/>
        <v>8.1649234165437541</v>
      </c>
      <c r="K63" s="19">
        <f t="shared" si="11"/>
        <v>0.31958971528802049</v>
      </c>
      <c r="L63" s="27">
        <f t="shared" si="15"/>
        <v>0.31958971528802049</v>
      </c>
    </row>
    <row r="64" spans="3:12" x14ac:dyDescent="0.25">
      <c r="C64" s="15" t="s">
        <v>3</v>
      </c>
      <c r="D64" s="15">
        <v>2023</v>
      </c>
      <c r="E64" s="23">
        <v>15</v>
      </c>
      <c r="F64" s="19">
        <f t="shared" ref="F64:G64" si="31">($N$43)*E64+($N$44)*F63</f>
        <v>14.288789367614687</v>
      </c>
      <c r="G64" s="19">
        <f t="shared" si="31"/>
        <v>13.639290841988775</v>
      </c>
      <c r="H64" s="19">
        <f t="shared" si="8"/>
        <v>14.938287893240599</v>
      </c>
      <c r="I64" s="19">
        <f t="shared" si="9"/>
        <v>2.5979941025036482</v>
      </c>
      <c r="J64" s="19">
        <f t="shared" si="10"/>
        <v>13.457197331015006</v>
      </c>
      <c r="K64" s="19">
        <f t="shared" si="11"/>
        <v>0.10285351126566625</v>
      </c>
      <c r="L64" s="27">
        <f t="shared" si="15"/>
        <v>0.10285351126566625</v>
      </c>
    </row>
    <row r="65" spans="3:12" x14ac:dyDescent="0.25">
      <c r="C65" s="15" t="s">
        <v>5</v>
      </c>
      <c r="D65" s="15">
        <v>2023</v>
      </c>
      <c r="E65" s="23">
        <v>16</v>
      </c>
      <c r="F65" s="19">
        <f t="shared" ref="F65:G65" si="32">($N$43)*E65+($N$44)*F64</f>
        <v>15.657757873522938</v>
      </c>
      <c r="G65" s="19">
        <f t="shared" si="32"/>
        <v>15.254064467216107</v>
      </c>
      <c r="H65" s="19">
        <f t="shared" si="8"/>
        <v>16.061451279829768</v>
      </c>
      <c r="I65" s="19">
        <f t="shared" si="9"/>
        <v>1.6147736252273219</v>
      </c>
      <c r="J65" s="19">
        <f t="shared" si="10"/>
        <v>17.536281995744247</v>
      </c>
      <c r="K65" s="19">
        <f t="shared" si="11"/>
        <v>-9.6017624734015428E-2</v>
      </c>
      <c r="L65" s="27">
        <f t="shared" si="15"/>
        <v>9.6017624734015428E-2</v>
      </c>
    </row>
    <row r="66" spans="3:12" x14ac:dyDescent="0.25">
      <c r="C66" s="15" t="s">
        <v>6</v>
      </c>
      <c r="D66" s="15">
        <v>2023</v>
      </c>
      <c r="E66" s="23">
        <v>16</v>
      </c>
      <c r="F66" s="19">
        <f t="shared" ref="F66:G66" si="33">($N$43)*E66+($N$44)*F65</f>
        <v>15.931551574704589</v>
      </c>
      <c r="G66" s="19">
        <f t="shared" si="33"/>
        <v>15.796054153206894</v>
      </c>
      <c r="H66" s="19">
        <f t="shared" si="8"/>
        <v>16.067048996202281</v>
      </c>
      <c r="I66" s="19">
        <f t="shared" si="9"/>
        <v>0.54198968599077801</v>
      </c>
      <c r="J66" s="19">
        <f t="shared" si="10"/>
        <v>17.67622490505709</v>
      </c>
      <c r="K66" s="19">
        <f t="shared" si="11"/>
        <v>-0.10476405656606813</v>
      </c>
      <c r="L66" s="27">
        <f t="shared" si="15"/>
        <v>0.10476405656606813</v>
      </c>
    </row>
    <row r="67" spans="3:12" x14ac:dyDescent="0.25">
      <c r="C67" s="15" t="s">
        <v>7</v>
      </c>
      <c r="D67" s="15">
        <v>2023</v>
      </c>
      <c r="E67" s="23">
        <v>19</v>
      </c>
      <c r="F67" s="19">
        <f t="shared" ref="F67:G67" si="34">($N$43)*E67+($N$44)*F66</f>
        <v>18.386310314940918</v>
      </c>
      <c r="G67" s="19">
        <f t="shared" si="34"/>
        <v>17.868259082594115</v>
      </c>
      <c r="H67" s="19">
        <f t="shared" si="8"/>
        <v>18.904361547287721</v>
      </c>
      <c r="I67" s="19">
        <f t="shared" si="9"/>
        <v>2.0722049293872118</v>
      </c>
      <c r="J67" s="19">
        <f t="shared" si="10"/>
        <v>16.609038682193059</v>
      </c>
      <c r="K67" s="19">
        <f t="shared" si="11"/>
        <v>0.12584006935826003</v>
      </c>
      <c r="L67" s="27">
        <f t="shared" si="15"/>
        <v>0.12584006935826003</v>
      </c>
    </row>
    <row r="68" spans="3:12" x14ac:dyDescent="0.25">
      <c r="C68" s="15" t="s">
        <v>8</v>
      </c>
      <c r="D68" s="15">
        <v>2023</v>
      </c>
      <c r="E68" s="23">
        <v>20</v>
      </c>
      <c r="F68" s="19">
        <f t="shared" ref="F68:G68" si="35">($N$43)*E68+($N$44)*F67</f>
        <v>19.677262062988184</v>
      </c>
      <c r="G68" s="19">
        <f t="shared" si="35"/>
        <v>19.315461466909372</v>
      </c>
      <c r="H68" s="19">
        <f t="shared" si="8"/>
        <v>20.039062659066996</v>
      </c>
      <c r="I68" s="19">
        <f t="shared" si="9"/>
        <v>1.4472023843152471</v>
      </c>
      <c r="J68" s="19">
        <f t="shared" si="10"/>
        <v>20.976566476674932</v>
      </c>
      <c r="K68" s="19">
        <f t="shared" si="11"/>
        <v>-4.882832383374662E-2</v>
      </c>
      <c r="L68" s="27">
        <f t="shared" si="15"/>
        <v>4.882832383374662E-2</v>
      </c>
    </row>
    <row r="69" spans="3:12" x14ac:dyDescent="0.25">
      <c r="C69" s="15" t="s">
        <v>9</v>
      </c>
      <c r="D69" s="15">
        <v>2024</v>
      </c>
      <c r="E69" s="23">
        <v>19</v>
      </c>
      <c r="F69" s="19">
        <f t="shared" ref="F69:G69" si="36">($N$43)*E69+($N$44)*F68</f>
        <v>19.135452412597637</v>
      </c>
      <c r="G69" s="19">
        <f t="shared" si="36"/>
        <v>19.171454223459985</v>
      </c>
      <c r="H69" s="19">
        <f t="shared" si="8"/>
        <v>19.099450601735288</v>
      </c>
      <c r="I69" s="19">
        <f t="shared" si="9"/>
        <v>-0.1440072434493942</v>
      </c>
      <c r="J69" s="19">
        <f t="shared" si="10"/>
        <v>21.486265043382243</v>
      </c>
      <c r="K69" s="19">
        <f t="shared" si="11"/>
        <v>-0.13085605491485489</v>
      </c>
      <c r="L69" s="27">
        <f t="shared" si="15"/>
        <v>0.13085605491485489</v>
      </c>
    </row>
    <row r="70" spans="3:12" x14ac:dyDescent="0.25">
      <c r="C70" s="15" t="s">
        <v>10</v>
      </c>
      <c r="D70" s="15">
        <v>2024</v>
      </c>
      <c r="E70" s="23">
        <v>13</v>
      </c>
      <c r="F70" s="19">
        <f t="shared" ref="F70:G70" si="37">($N$43)*E70+($N$44)*F69</f>
        <v>14.227090482519529</v>
      </c>
      <c r="G70" s="19">
        <f t="shared" si="37"/>
        <v>15.21596323070762</v>
      </c>
      <c r="H70" s="19">
        <f t="shared" si="8"/>
        <v>13.238217734331437</v>
      </c>
      <c r="I70" s="19">
        <f t="shared" si="9"/>
        <v>-3.9554909927523667</v>
      </c>
      <c r="J70" s="19">
        <f t="shared" si="10"/>
        <v>18.955443358285894</v>
      </c>
      <c r="K70" s="19">
        <f t="shared" si="11"/>
        <v>-0.45811102756045341</v>
      </c>
      <c r="L70" s="27">
        <f t="shared" si="15"/>
        <v>0.45811102756045341</v>
      </c>
    </row>
    <row r="71" spans="3:12" x14ac:dyDescent="0.25">
      <c r="C71" s="15" t="s">
        <v>11</v>
      </c>
      <c r="D71" s="15">
        <v>2024</v>
      </c>
      <c r="E71" s="23">
        <v>12</v>
      </c>
      <c r="F71" s="19">
        <f t="shared" ref="F71:G71" si="38">($N$43)*E71+($N$44)*F70</f>
        <v>12.445418096503907</v>
      </c>
      <c r="G71" s="19">
        <f t="shared" si="38"/>
        <v>12.999527123344651</v>
      </c>
      <c r="H71" s="19">
        <f t="shared" si="8"/>
        <v>11.891309069663164</v>
      </c>
      <c r="I71" s="19">
        <f t="shared" si="9"/>
        <v>-2.2164361073629735</v>
      </c>
      <c r="J71" s="19">
        <f t="shared" si="10"/>
        <v>9.2827267415790704</v>
      </c>
      <c r="K71" s="19">
        <f t="shared" si="11"/>
        <v>0.22643943820174414</v>
      </c>
      <c r="L71" s="27">
        <f t="shared" si="15"/>
        <v>0.22643943820174414</v>
      </c>
    </row>
    <row r="72" spans="3:12" x14ac:dyDescent="0.25">
      <c r="C72" s="15" t="s">
        <v>12</v>
      </c>
      <c r="D72" s="15">
        <v>2024</v>
      </c>
      <c r="E72" s="23">
        <v>10</v>
      </c>
      <c r="F72" s="19">
        <f t="shared" ref="F72:G72" si="39">($N$43)*E72+($N$44)*F71</f>
        <v>10.489083619300782</v>
      </c>
      <c r="G72" s="19">
        <f t="shared" si="39"/>
        <v>10.991172320109557</v>
      </c>
      <c r="H72" s="19">
        <f t="shared" si="8"/>
        <v>9.986994918492007</v>
      </c>
      <c r="I72" s="19">
        <f t="shared" si="9"/>
        <v>-2.0083548032351004</v>
      </c>
      <c r="J72" s="19">
        <f t="shared" si="10"/>
        <v>9.6748729623001903</v>
      </c>
      <c r="K72" s="19">
        <f t="shared" si="11"/>
        <v>3.2512703769980965E-2</v>
      </c>
      <c r="L72" s="27">
        <f t="shared" si="15"/>
        <v>3.2512703769980965E-2</v>
      </c>
    </row>
    <row r="73" spans="3:12" x14ac:dyDescent="0.25">
      <c r="C73" s="15" t="s">
        <v>13</v>
      </c>
      <c r="D73" s="15">
        <v>2024</v>
      </c>
      <c r="E73" s="23">
        <v>10</v>
      </c>
      <c r="F73" s="19">
        <f t="shared" ref="F73:G73" si="40">($N$43)*E73+($N$44)*F72</f>
        <v>10.097816723860156</v>
      </c>
      <c r="G73" s="19">
        <f t="shared" si="40"/>
        <v>10.276487843110036</v>
      </c>
      <c r="H73" s="19">
        <f t="shared" si="8"/>
        <v>9.9191456046102751</v>
      </c>
      <c r="I73" s="19">
        <f t="shared" si="9"/>
        <v>-0.71468447699952264</v>
      </c>
      <c r="J73" s="19">
        <f t="shared" si="10"/>
        <v>7.9786401152569066</v>
      </c>
      <c r="K73" s="19">
        <f t="shared" si="11"/>
        <v>0.20213598847430933</v>
      </c>
      <c r="L73" s="27">
        <f t="shared" si="15"/>
        <v>0.20213598847430933</v>
      </c>
    </row>
    <row r="74" spans="3:12" x14ac:dyDescent="0.25">
      <c r="C74" s="15" t="s">
        <v>2</v>
      </c>
      <c r="D74" s="15">
        <v>2024</v>
      </c>
      <c r="E74" s="23">
        <v>12</v>
      </c>
      <c r="F74" s="19">
        <f t="shared" ref="F74:G74" si="41">($N$43)*E74+($N$44)*F73</f>
        <v>11.619563344772033</v>
      </c>
      <c r="G74" s="19">
        <f t="shared" si="41"/>
        <v>11.350948244439634</v>
      </c>
      <c r="H74" s="19">
        <f t="shared" si="8"/>
        <v>11.888178445104431</v>
      </c>
      <c r="I74" s="19">
        <f t="shared" si="9"/>
        <v>1.0744604013295955</v>
      </c>
      <c r="J74" s="19">
        <f t="shared" si="10"/>
        <v>9.2044611276107524</v>
      </c>
      <c r="K74" s="19">
        <f t="shared" si="11"/>
        <v>0.23296157269910397</v>
      </c>
      <c r="L74" s="27">
        <f t="shared" si="15"/>
        <v>0.23296157269910397</v>
      </c>
    </row>
    <row r="75" spans="3:12" x14ac:dyDescent="0.25">
      <c r="C75" s="15" t="s">
        <v>4</v>
      </c>
      <c r="D75" s="15">
        <v>2024</v>
      </c>
      <c r="E75" s="23">
        <v>13</v>
      </c>
      <c r="F75" s="19">
        <f t="shared" ref="F75:G75" si="42">($N$43)*E75+($N$44)*F74</f>
        <v>12.723912668954407</v>
      </c>
      <c r="G75" s="19">
        <f t="shared" si="42"/>
        <v>12.449319784051452</v>
      </c>
      <c r="H75" s="19">
        <f t="shared" si="8"/>
        <v>12.998505553857362</v>
      </c>
      <c r="I75" s="19">
        <f t="shared" si="9"/>
        <v>1.0983715396118185</v>
      </c>
      <c r="J75" s="19">
        <f t="shared" si="10"/>
        <v>12.962638846434027</v>
      </c>
      <c r="K75" s="19">
        <f t="shared" si="11"/>
        <v>2.8739348896902328E-3</v>
      </c>
      <c r="L75" s="27">
        <f t="shared" si="15"/>
        <v>2.8739348896902328E-3</v>
      </c>
    </row>
    <row r="76" spans="3:12" x14ac:dyDescent="0.25">
      <c r="C76" s="15" t="s">
        <v>3</v>
      </c>
      <c r="D76" s="15">
        <v>2024</v>
      </c>
      <c r="E76" s="23">
        <v>15</v>
      </c>
      <c r="F76" s="19">
        <f t="shared" ref="F76:G76" si="43">($N$43)*E76+($N$44)*F75</f>
        <v>14.544782533790881</v>
      </c>
      <c r="G76" s="19">
        <f t="shared" si="43"/>
        <v>14.125689983842998</v>
      </c>
      <c r="H76" s="19">
        <f t="shared" si="8"/>
        <v>14.963875083738765</v>
      </c>
      <c r="I76" s="19">
        <f t="shared" si="9"/>
        <v>1.6763701997915348</v>
      </c>
      <c r="J76" s="19">
        <f t="shared" si="10"/>
        <v>14.09687709346918</v>
      </c>
      <c r="K76" s="19">
        <f t="shared" si="11"/>
        <v>6.020819376872133E-2</v>
      </c>
      <c r="L76" s="27">
        <f t="shared" si="15"/>
        <v>6.020819376872133E-2</v>
      </c>
    </row>
    <row r="77" spans="3:12" x14ac:dyDescent="0.25">
      <c r="C77" s="15" t="s">
        <v>5</v>
      </c>
      <c r="D77" s="15">
        <v>2024</v>
      </c>
      <c r="E77" s="23">
        <v>15</v>
      </c>
      <c r="F77" s="19">
        <f t="shared" ref="F77:G77" si="44">($N$43)*E77+($N$44)*F76</f>
        <v>14.908956506758177</v>
      </c>
      <c r="G77" s="19">
        <f t="shared" si="44"/>
        <v>14.752303202175142</v>
      </c>
      <c r="H77" s="19">
        <f t="shared" si="8"/>
        <v>15.065609811341211</v>
      </c>
      <c r="I77" s="19">
        <f t="shared" si="9"/>
        <v>0.6266132183321389</v>
      </c>
      <c r="J77" s="19">
        <f t="shared" si="10"/>
        <v>16.640245283530298</v>
      </c>
      <c r="K77" s="19">
        <f t="shared" si="11"/>
        <v>-0.10934968556868654</v>
      </c>
      <c r="L77" s="27">
        <f t="shared" si="15"/>
        <v>0.10934968556868654</v>
      </c>
    </row>
    <row r="78" spans="3:12" x14ac:dyDescent="0.25">
      <c r="C78" s="15" t="s">
        <v>6</v>
      </c>
      <c r="D78" s="15">
        <v>2024</v>
      </c>
      <c r="E78" s="23">
        <v>18</v>
      </c>
      <c r="F78" s="19">
        <f t="shared" ref="F78:G78" si="45">($N$43)*E78+($N$44)*F77</f>
        <v>17.381791301351637</v>
      </c>
      <c r="G78" s="19">
        <f t="shared" si="45"/>
        <v>16.855893681516338</v>
      </c>
      <c r="H78" s="19">
        <f t="shared" si="8"/>
        <v>17.907688921186935</v>
      </c>
      <c r="I78" s="19">
        <f t="shared" si="9"/>
        <v>2.103590479341193</v>
      </c>
      <c r="J78" s="19">
        <f t="shared" si="10"/>
        <v>15.69222302967335</v>
      </c>
      <c r="K78" s="19">
        <f t="shared" si="11"/>
        <v>0.12820983168481387</v>
      </c>
      <c r="L78" s="27">
        <f t="shared" si="15"/>
        <v>0.12820983168481387</v>
      </c>
    </row>
    <row r="79" spans="3:12" x14ac:dyDescent="0.25">
      <c r="C79" s="15" t="s">
        <v>7</v>
      </c>
      <c r="D79" s="15">
        <v>2024</v>
      </c>
      <c r="E79" s="23">
        <v>20</v>
      </c>
      <c r="F79" s="19">
        <f t="shared" ref="F79:G79" si="46">($N$43)*E79+($N$44)*F78</f>
        <v>19.476358260270327</v>
      </c>
      <c r="G79" s="19">
        <f t="shared" si="46"/>
        <v>18.952265344519532</v>
      </c>
      <c r="H79" s="19">
        <f t="shared" si="8"/>
        <v>20.000451176021123</v>
      </c>
      <c r="I79" s="19">
        <f t="shared" si="9"/>
        <v>2.0963716630031826</v>
      </c>
      <c r="J79" s="19">
        <f t="shared" si="10"/>
        <v>20.011279400528128</v>
      </c>
      <c r="K79" s="19">
        <f t="shared" si="11"/>
        <v>-5.6397002640640181E-4</v>
      </c>
      <c r="L79" s="27">
        <f t="shared" si="15"/>
        <v>5.6397002640640181E-4</v>
      </c>
    </row>
    <row r="80" spans="3:12" x14ac:dyDescent="0.25">
      <c r="C80" s="21" t="s">
        <v>8</v>
      </c>
      <c r="D80" s="21">
        <v>2024</v>
      </c>
      <c r="E80" s="24"/>
      <c r="F80" s="8"/>
      <c r="G80" s="8"/>
      <c r="H80" s="8"/>
      <c r="I80" s="8"/>
      <c r="J80" s="8">
        <f>H79+I79</f>
        <v>22.096822839024306</v>
      </c>
      <c r="K80" s="8" t="s">
        <v>21</v>
      </c>
      <c r="L80" s="28">
        <f>100/36*SUM(L45:L79)</f>
        <v>11.384157239556091</v>
      </c>
    </row>
    <row r="83" spans="3:14" x14ac:dyDescent="0.25">
      <c r="C83" s="18" t="s">
        <v>0</v>
      </c>
      <c r="D83" s="18" t="s">
        <v>1</v>
      </c>
      <c r="E83" s="18" t="s">
        <v>22</v>
      </c>
      <c r="F83" s="18" t="s">
        <v>14</v>
      </c>
      <c r="G83" s="18" t="s">
        <v>15</v>
      </c>
      <c r="H83" s="18" t="s">
        <v>16</v>
      </c>
      <c r="I83" s="18" t="s">
        <v>17</v>
      </c>
      <c r="J83" s="18" t="s">
        <v>18</v>
      </c>
      <c r="K83" s="18" t="s">
        <v>19</v>
      </c>
      <c r="L83" s="26" t="s">
        <v>20</v>
      </c>
      <c r="N83" s="11">
        <v>0.7</v>
      </c>
    </row>
    <row r="84" spans="3:14" x14ac:dyDescent="0.25">
      <c r="C84" s="15" t="s">
        <v>8</v>
      </c>
      <c r="D84" s="15">
        <v>2021</v>
      </c>
      <c r="E84" s="23">
        <v>15</v>
      </c>
      <c r="F84" s="23">
        <v>15</v>
      </c>
      <c r="G84" s="23">
        <v>15</v>
      </c>
      <c r="H84" s="23">
        <v>15</v>
      </c>
      <c r="I84" s="19">
        <v>0</v>
      </c>
      <c r="J84" s="19"/>
      <c r="K84" s="19"/>
      <c r="L84" s="27"/>
      <c r="N84" s="11">
        <v>0.3</v>
      </c>
    </row>
    <row r="85" spans="3:14" x14ac:dyDescent="0.25">
      <c r="C85" s="15" t="s">
        <v>9</v>
      </c>
      <c r="D85" s="15">
        <v>2022</v>
      </c>
      <c r="E85" s="23">
        <v>12</v>
      </c>
      <c r="F85" s="19">
        <f>($N$83)*E85+($N$84)*F84</f>
        <v>12.899999999999999</v>
      </c>
      <c r="G85" s="19">
        <f>($N$83)*F85+($N$84)*G84</f>
        <v>13.529999999999998</v>
      </c>
      <c r="H85" s="19">
        <f>2*(F85)-(G85)</f>
        <v>12.27</v>
      </c>
      <c r="I85" s="19">
        <f>$N$83/$N$84*(F85-G85)</f>
        <v>-1.4699999999999978</v>
      </c>
      <c r="J85" s="19">
        <f>H84+I84</f>
        <v>15</v>
      </c>
      <c r="K85" s="19">
        <f>(E85-J85)/E85</f>
        <v>-0.25</v>
      </c>
      <c r="L85" s="27">
        <f>ABS(K85)</f>
        <v>0.25</v>
      </c>
    </row>
    <row r="86" spans="3:14" x14ac:dyDescent="0.25">
      <c r="C86" s="15" t="s">
        <v>10</v>
      </c>
      <c r="D86" s="15">
        <v>2022</v>
      </c>
      <c r="E86" s="23">
        <v>11</v>
      </c>
      <c r="F86" s="19">
        <f t="shared" ref="F86:G86" si="47">($N$83)*E86+($N$84)*F85</f>
        <v>11.569999999999999</v>
      </c>
      <c r="G86" s="19">
        <f t="shared" si="47"/>
        <v>12.157999999999998</v>
      </c>
      <c r="H86" s="19">
        <f t="shared" ref="H86:H119" si="48">2*(F86)-(G86)</f>
        <v>10.981999999999999</v>
      </c>
      <c r="I86" s="19">
        <f t="shared" ref="I86:I119" si="49">$N$83/$N$84*(F86-G86)</f>
        <v>-1.3719999999999981</v>
      </c>
      <c r="J86" s="19">
        <f t="shared" ref="J86:J119" si="50">H85+I85</f>
        <v>10.800000000000002</v>
      </c>
      <c r="K86" s="19">
        <f>(E86-J86)/E86</f>
        <v>1.8181818181817955E-2</v>
      </c>
      <c r="L86" s="27">
        <f t="shared" ref="L86" si="51">ABS(K86)</f>
        <v>1.8181818181817955E-2</v>
      </c>
    </row>
    <row r="87" spans="3:14" x14ac:dyDescent="0.25">
      <c r="C87" s="15" t="s">
        <v>11</v>
      </c>
      <c r="D87" s="15">
        <v>2022</v>
      </c>
      <c r="E87" s="23">
        <v>10</v>
      </c>
      <c r="F87" s="19">
        <f t="shared" ref="F87:G87" si="52">($N$83)*E87+($N$84)*F86</f>
        <v>10.471</v>
      </c>
      <c r="G87" s="19">
        <f t="shared" si="52"/>
        <v>10.9771</v>
      </c>
      <c r="H87" s="19">
        <f t="shared" si="48"/>
        <v>9.9649000000000001</v>
      </c>
      <c r="I87" s="19">
        <f t="shared" si="49"/>
        <v>-1.1809000000000001</v>
      </c>
      <c r="J87" s="19">
        <f t="shared" si="50"/>
        <v>9.6100000000000012</v>
      </c>
      <c r="K87" s="19">
        <f t="shared" ref="K87:K119" si="53">(E87-J87)/E87</f>
        <v>3.8999999999999882E-2</v>
      </c>
      <c r="L87" s="27">
        <f>ABS(K87)</f>
        <v>3.8999999999999882E-2</v>
      </c>
    </row>
    <row r="88" spans="3:14" x14ac:dyDescent="0.25">
      <c r="C88" s="15" t="s">
        <v>12</v>
      </c>
      <c r="D88" s="15">
        <v>2022</v>
      </c>
      <c r="E88" s="23">
        <v>9</v>
      </c>
      <c r="F88" s="19">
        <f t="shared" ref="F88:G88" si="54">($N$83)*E88+($N$84)*F87</f>
        <v>9.4413</v>
      </c>
      <c r="G88" s="19">
        <f t="shared" si="54"/>
        <v>9.9020399999999995</v>
      </c>
      <c r="H88" s="19">
        <f t="shared" si="48"/>
        <v>8.9805600000000005</v>
      </c>
      <c r="I88" s="19">
        <f t="shared" si="49"/>
        <v>-1.0750599999999988</v>
      </c>
      <c r="J88" s="19">
        <f t="shared" si="50"/>
        <v>8.7840000000000007</v>
      </c>
      <c r="K88" s="19">
        <f t="shared" si="53"/>
        <v>2.3999999999999924E-2</v>
      </c>
      <c r="L88" s="27">
        <f t="shared" ref="L88:L119" si="55">ABS(K88)</f>
        <v>2.3999999999999924E-2</v>
      </c>
    </row>
    <row r="89" spans="3:14" x14ac:dyDescent="0.25">
      <c r="C89" s="15" t="s">
        <v>13</v>
      </c>
      <c r="D89" s="15">
        <v>2022</v>
      </c>
      <c r="E89" s="23">
        <v>10</v>
      </c>
      <c r="F89" s="19">
        <f t="shared" ref="F89:G89" si="56">($N$83)*E89+($N$84)*F88</f>
        <v>9.8323900000000002</v>
      </c>
      <c r="G89" s="19">
        <f t="shared" si="56"/>
        <v>9.8532849999999996</v>
      </c>
      <c r="H89" s="19">
        <f t="shared" si="48"/>
        <v>9.8114950000000007</v>
      </c>
      <c r="I89" s="19">
        <f t="shared" si="49"/>
        <v>-4.8754999999998702E-2</v>
      </c>
      <c r="J89" s="19">
        <f t="shared" si="50"/>
        <v>7.9055000000000017</v>
      </c>
      <c r="K89" s="19">
        <f t="shared" si="53"/>
        <v>0.20944999999999983</v>
      </c>
      <c r="L89" s="27">
        <f t="shared" si="55"/>
        <v>0.20944999999999983</v>
      </c>
    </row>
    <row r="90" spans="3:14" x14ac:dyDescent="0.25">
      <c r="C90" s="15" t="s">
        <v>2</v>
      </c>
      <c r="D90" s="15">
        <v>2022</v>
      </c>
      <c r="E90" s="23">
        <v>12</v>
      </c>
      <c r="F90" s="19">
        <f t="shared" ref="F90:G90" si="57">($N$83)*E90+($N$84)*F89</f>
        <v>11.349716999999998</v>
      </c>
      <c r="G90" s="19">
        <f t="shared" si="57"/>
        <v>10.900787399999999</v>
      </c>
      <c r="H90" s="19">
        <f t="shared" si="48"/>
        <v>11.798646599999998</v>
      </c>
      <c r="I90" s="19">
        <f t="shared" si="49"/>
        <v>1.0475023999999991</v>
      </c>
      <c r="J90" s="19">
        <f t="shared" si="50"/>
        <v>9.7627400000000026</v>
      </c>
      <c r="K90" s="19">
        <f t="shared" si="53"/>
        <v>0.18643833333333312</v>
      </c>
      <c r="L90" s="27">
        <f t="shared" si="55"/>
        <v>0.18643833333333312</v>
      </c>
    </row>
    <row r="91" spans="3:14" x14ac:dyDescent="0.25">
      <c r="C91" s="15" t="s">
        <v>4</v>
      </c>
      <c r="D91" s="15">
        <v>2022</v>
      </c>
      <c r="E91" s="23">
        <v>14</v>
      </c>
      <c r="F91" s="19">
        <f t="shared" ref="F91:G91" si="58">($N$83)*E91+($N$84)*F90</f>
        <v>13.204915099999997</v>
      </c>
      <c r="G91" s="19">
        <f t="shared" si="58"/>
        <v>12.513676789999996</v>
      </c>
      <c r="H91" s="19">
        <f t="shared" si="48"/>
        <v>13.896153409999998</v>
      </c>
      <c r="I91" s="19">
        <f t="shared" si="49"/>
        <v>1.6128893900000025</v>
      </c>
      <c r="J91" s="19">
        <f t="shared" si="50"/>
        <v>12.846148999999997</v>
      </c>
      <c r="K91" s="19">
        <f t="shared" si="53"/>
        <v>8.2417928571428795E-2</v>
      </c>
      <c r="L91" s="27">
        <f t="shared" si="55"/>
        <v>8.2417928571428795E-2</v>
      </c>
    </row>
    <row r="92" spans="3:14" x14ac:dyDescent="0.25">
      <c r="C92" s="15" t="s">
        <v>3</v>
      </c>
      <c r="D92" s="15">
        <v>2022</v>
      </c>
      <c r="E92" s="23">
        <v>15</v>
      </c>
      <c r="F92" s="19">
        <f t="shared" ref="F92:G92" si="59">($N$83)*E92+($N$84)*F91</f>
        <v>14.461474529999998</v>
      </c>
      <c r="G92" s="19">
        <f t="shared" si="59"/>
        <v>13.877135207999997</v>
      </c>
      <c r="H92" s="19">
        <f t="shared" si="48"/>
        <v>15.045813852</v>
      </c>
      <c r="I92" s="19">
        <f t="shared" si="49"/>
        <v>1.363458418000004</v>
      </c>
      <c r="J92" s="19">
        <f t="shared" si="50"/>
        <v>15.509042800000001</v>
      </c>
      <c r="K92" s="19">
        <f t="shared" si="53"/>
        <v>-3.3936186666666757E-2</v>
      </c>
      <c r="L92" s="27">
        <f t="shared" si="55"/>
        <v>3.3936186666666757E-2</v>
      </c>
    </row>
    <row r="93" spans="3:14" x14ac:dyDescent="0.25">
      <c r="C93" s="15" t="s">
        <v>5</v>
      </c>
      <c r="D93" s="15">
        <v>2022</v>
      </c>
      <c r="E93" s="23">
        <v>18</v>
      </c>
      <c r="F93" s="19">
        <f t="shared" ref="F93:G93" si="60">($N$83)*E93+($N$84)*F92</f>
        <v>16.938442359</v>
      </c>
      <c r="G93" s="19">
        <f t="shared" si="60"/>
        <v>16.020050213699996</v>
      </c>
      <c r="H93" s="19">
        <f t="shared" si="48"/>
        <v>17.856834504300004</v>
      </c>
      <c r="I93" s="19">
        <f t="shared" si="49"/>
        <v>2.1429150057000093</v>
      </c>
      <c r="J93" s="19">
        <f t="shared" si="50"/>
        <v>16.409272270000002</v>
      </c>
      <c r="K93" s="19">
        <f t="shared" si="53"/>
        <v>8.8373762777777642E-2</v>
      </c>
      <c r="L93" s="27">
        <f t="shared" si="55"/>
        <v>8.8373762777777642E-2</v>
      </c>
    </row>
    <row r="94" spans="3:14" x14ac:dyDescent="0.25">
      <c r="C94" s="15" t="s">
        <v>6</v>
      </c>
      <c r="D94" s="15">
        <v>2022</v>
      </c>
      <c r="E94" s="23">
        <v>19</v>
      </c>
      <c r="F94" s="19">
        <f t="shared" ref="F94:G94" si="61">($N$83)*E94+($N$84)*F93</f>
        <v>18.3815327077</v>
      </c>
      <c r="G94" s="19">
        <f t="shared" si="61"/>
        <v>17.673087959499998</v>
      </c>
      <c r="H94" s="19">
        <f t="shared" si="48"/>
        <v>19.089977455900002</v>
      </c>
      <c r="I94" s="19">
        <f t="shared" si="49"/>
        <v>1.6530377458000038</v>
      </c>
      <c r="J94" s="19">
        <f t="shared" si="50"/>
        <v>19.999749510000012</v>
      </c>
      <c r="K94" s="19">
        <f t="shared" si="53"/>
        <v>-5.26183952631585E-2</v>
      </c>
      <c r="L94" s="27">
        <f t="shared" si="55"/>
        <v>5.26183952631585E-2</v>
      </c>
    </row>
    <row r="95" spans="3:14" x14ac:dyDescent="0.25">
      <c r="C95" s="15" t="s">
        <v>7</v>
      </c>
      <c r="D95" s="15">
        <v>2022</v>
      </c>
      <c r="E95" s="23">
        <v>20</v>
      </c>
      <c r="F95" s="19">
        <f t="shared" ref="F95:G95" si="62">($N$83)*E95+($N$84)*F94</f>
        <v>19.514459812310001</v>
      </c>
      <c r="G95" s="19">
        <f t="shared" si="62"/>
        <v>18.962048256467</v>
      </c>
      <c r="H95" s="19">
        <f t="shared" si="48"/>
        <v>20.066871368153002</v>
      </c>
      <c r="I95" s="19">
        <f t="shared" si="49"/>
        <v>1.2889602969670029</v>
      </c>
      <c r="J95" s="19">
        <f t="shared" si="50"/>
        <v>20.743015201700004</v>
      </c>
      <c r="K95" s="19">
        <f t="shared" si="53"/>
        <v>-3.7150760085000199E-2</v>
      </c>
      <c r="L95" s="27">
        <f t="shared" si="55"/>
        <v>3.7150760085000199E-2</v>
      </c>
    </row>
    <row r="96" spans="3:14" x14ac:dyDescent="0.25">
      <c r="C96" s="15" t="s">
        <v>8</v>
      </c>
      <c r="D96" s="15">
        <v>2022</v>
      </c>
      <c r="E96" s="23">
        <v>18</v>
      </c>
      <c r="F96" s="19">
        <f t="shared" ref="F96:G96" si="63">($N$83)*E96+($N$84)*F95</f>
        <v>18.454337943692998</v>
      </c>
      <c r="G96" s="19">
        <f t="shared" si="63"/>
        <v>18.606651037525197</v>
      </c>
      <c r="H96" s="19">
        <f t="shared" si="48"/>
        <v>18.3020248498608</v>
      </c>
      <c r="I96" s="19">
        <f t="shared" si="49"/>
        <v>-0.35539721894179621</v>
      </c>
      <c r="J96" s="19">
        <f t="shared" si="50"/>
        <v>21.355831665120004</v>
      </c>
      <c r="K96" s="19">
        <f t="shared" si="53"/>
        <v>-0.18643509250666687</v>
      </c>
      <c r="L96" s="27">
        <f t="shared" si="55"/>
        <v>0.18643509250666687</v>
      </c>
    </row>
    <row r="97" spans="3:12" x14ac:dyDescent="0.25">
      <c r="C97" s="15" t="s">
        <v>9</v>
      </c>
      <c r="D97" s="15">
        <v>2023</v>
      </c>
      <c r="E97" s="23">
        <v>15</v>
      </c>
      <c r="F97" s="19">
        <f t="shared" ref="F97:G97" si="64">($N$83)*E97+($N$84)*F96</f>
        <v>16.036301383107897</v>
      </c>
      <c r="G97" s="19">
        <f t="shared" si="64"/>
        <v>16.807406279433085</v>
      </c>
      <c r="H97" s="19">
        <f t="shared" si="48"/>
        <v>15.26519648678271</v>
      </c>
      <c r="I97" s="19">
        <f t="shared" si="49"/>
        <v>-1.7992447580921047</v>
      </c>
      <c r="J97" s="19">
        <f t="shared" si="50"/>
        <v>17.946627630919004</v>
      </c>
      <c r="K97" s="19">
        <f t="shared" si="53"/>
        <v>-0.19644184206126691</v>
      </c>
      <c r="L97" s="27">
        <f t="shared" si="55"/>
        <v>0.19644184206126691</v>
      </c>
    </row>
    <row r="98" spans="3:12" x14ac:dyDescent="0.25">
      <c r="C98" s="15" t="s">
        <v>10</v>
      </c>
      <c r="D98" s="15">
        <v>2023</v>
      </c>
      <c r="E98" s="23">
        <v>14</v>
      </c>
      <c r="F98" s="19">
        <f t="shared" ref="F98:G98" si="65">($N$83)*E98+($N$84)*F97</f>
        <v>14.610890414932367</v>
      </c>
      <c r="G98" s="19">
        <f t="shared" si="65"/>
        <v>15.269845174282583</v>
      </c>
      <c r="H98" s="19">
        <f t="shared" si="48"/>
        <v>13.951935655582151</v>
      </c>
      <c r="I98" s="19">
        <f t="shared" si="49"/>
        <v>-1.5375611051505043</v>
      </c>
      <c r="J98" s="19">
        <f t="shared" si="50"/>
        <v>13.465951728690605</v>
      </c>
      <c r="K98" s="19">
        <f t="shared" si="53"/>
        <v>3.8146305093528197E-2</v>
      </c>
      <c r="L98" s="27">
        <f t="shared" si="55"/>
        <v>3.8146305093528197E-2</v>
      </c>
    </row>
    <row r="99" spans="3:12" x14ac:dyDescent="0.25">
      <c r="C99" s="15" t="s">
        <v>11</v>
      </c>
      <c r="D99" s="15">
        <v>2023</v>
      </c>
      <c r="E99" s="23">
        <v>12</v>
      </c>
      <c r="F99" s="19">
        <f t="shared" ref="F99:G99" si="66">($N$83)*E99+($N$84)*F98</f>
        <v>12.783267124479709</v>
      </c>
      <c r="G99" s="19">
        <f t="shared" si="66"/>
        <v>13.52924053942057</v>
      </c>
      <c r="H99" s="19">
        <f t="shared" si="48"/>
        <v>12.037293709538847</v>
      </c>
      <c r="I99" s="19">
        <f t="shared" si="49"/>
        <v>-1.7406046348620101</v>
      </c>
      <c r="J99" s="19">
        <f t="shared" si="50"/>
        <v>12.414374550431647</v>
      </c>
      <c r="K99" s="19">
        <f t="shared" si="53"/>
        <v>-3.4531212535970614E-2</v>
      </c>
      <c r="L99" s="27">
        <f t="shared" si="55"/>
        <v>3.4531212535970614E-2</v>
      </c>
    </row>
    <row r="100" spans="3:12" x14ac:dyDescent="0.25">
      <c r="C100" s="15" t="s">
        <v>12</v>
      </c>
      <c r="D100" s="15">
        <v>2023</v>
      </c>
      <c r="E100" s="23">
        <v>10</v>
      </c>
      <c r="F100" s="19">
        <f t="shared" ref="F100:G100" si="67">($N$83)*E100+($N$84)*F99</f>
        <v>10.834980137343912</v>
      </c>
      <c r="G100" s="19">
        <f t="shared" si="67"/>
        <v>11.643258257966909</v>
      </c>
      <c r="H100" s="19">
        <f t="shared" si="48"/>
        <v>10.026702016720915</v>
      </c>
      <c r="I100" s="19">
        <f t="shared" si="49"/>
        <v>-1.8859822814536609</v>
      </c>
      <c r="J100" s="19">
        <f t="shared" si="50"/>
        <v>10.296689074676838</v>
      </c>
      <c r="K100" s="19">
        <f t="shared" si="53"/>
        <v>-2.9668907467683782E-2</v>
      </c>
      <c r="L100" s="27">
        <f t="shared" si="55"/>
        <v>2.9668907467683782E-2</v>
      </c>
    </row>
    <row r="101" spans="3:12" x14ac:dyDescent="0.25">
      <c r="C101" s="15" t="s">
        <v>13</v>
      </c>
      <c r="D101" s="15">
        <v>2023</v>
      </c>
      <c r="E101" s="23">
        <v>10</v>
      </c>
      <c r="F101" s="19">
        <f t="shared" ref="F101:G101" si="68">($N$83)*E101+($N$84)*F100</f>
        <v>10.250494041203174</v>
      </c>
      <c r="G101" s="19">
        <f t="shared" si="68"/>
        <v>10.668323306232294</v>
      </c>
      <c r="H101" s="19">
        <f t="shared" si="48"/>
        <v>9.8326647761740542</v>
      </c>
      <c r="I101" s="19">
        <f t="shared" si="49"/>
        <v>-0.97493495173461286</v>
      </c>
      <c r="J101" s="19">
        <f t="shared" si="50"/>
        <v>8.140719735267254</v>
      </c>
      <c r="K101" s="19">
        <f t="shared" si="53"/>
        <v>0.18592802647327461</v>
      </c>
      <c r="L101" s="27">
        <f t="shared" si="55"/>
        <v>0.18592802647327461</v>
      </c>
    </row>
    <row r="102" spans="3:12" x14ac:dyDescent="0.25">
      <c r="C102" s="15" t="s">
        <v>2</v>
      </c>
      <c r="D102" s="15">
        <v>2023</v>
      </c>
      <c r="E102" s="23">
        <v>9</v>
      </c>
      <c r="F102" s="19">
        <f t="shared" ref="F102:G102" si="69">($N$83)*E102+($N$84)*F101</f>
        <v>9.3751482123609513</v>
      </c>
      <c r="G102" s="19">
        <f t="shared" si="69"/>
        <v>9.7631007405223542</v>
      </c>
      <c r="H102" s="19">
        <f t="shared" si="48"/>
        <v>8.9871956841995484</v>
      </c>
      <c r="I102" s="19">
        <f t="shared" si="49"/>
        <v>-0.9052225657099402</v>
      </c>
      <c r="J102" s="19">
        <f t="shared" si="50"/>
        <v>8.857729824439442</v>
      </c>
      <c r="K102" s="19">
        <f t="shared" si="53"/>
        <v>1.5807797284506445E-2</v>
      </c>
      <c r="L102" s="27">
        <f t="shared" si="55"/>
        <v>1.5807797284506445E-2</v>
      </c>
    </row>
    <row r="103" spans="3:12" x14ac:dyDescent="0.25">
      <c r="C103" s="15" t="s">
        <v>4</v>
      </c>
      <c r="D103" s="15">
        <v>2023</v>
      </c>
      <c r="E103" s="23">
        <v>12</v>
      </c>
      <c r="F103" s="19">
        <f t="shared" ref="F103:G103" si="70">($N$83)*E103+($N$84)*F102</f>
        <v>11.212544463708284</v>
      </c>
      <c r="G103" s="19">
        <f t="shared" si="70"/>
        <v>10.777711346752504</v>
      </c>
      <c r="H103" s="19">
        <f t="shared" si="48"/>
        <v>11.647377580664063</v>
      </c>
      <c r="I103" s="19">
        <f t="shared" si="49"/>
        <v>1.0146106062301523</v>
      </c>
      <c r="J103" s="19">
        <f t="shared" si="50"/>
        <v>8.0819731184896089</v>
      </c>
      <c r="K103" s="19">
        <f t="shared" si="53"/>
        <v>0.32650224012586593</v>
      </c>
      <c r="L103" s="27">
        <f t="shared" si="55"/>
        <v>0.32650224012586593</v>
      </c>
    </row>
    <row r="104" spans="3:12" x14ac:dyDescent="0.25">
      <c r="C104" s="15" t="s">
        <v>3</v>
      </c>
      <c r="D104" s="15">
        <v>2023</v>
      </c>
      <c r="E104" s="23">
        <v>15</v>
      </c>
      <c r="F104" s="19">
        <f t="shared" ref="F104:G104" si="71">($N$83)*E104+($N$84)*F103</f>
        <v>13.863763339112484</v>
      </c>
      <c r="G104" s="19">
        <f t="shared" si="71"/>
        <v>12.937947741404489</v>
      </c>
      <c r="H104" s="19">
        <f t="shared" si="48"/>
        <v>14.78957893682048</v>
      </c>
      <c r="I104" s="19">
        <f t="shared" si="49"/>
        <v>2.1602363946519887</v>
      </c>
      <c r="J104" s="19">
        <f t="shared" si="50"/>
        <v>12.661988186894215</v>
      </c>
      <c r="K104" s="19">
        <f t="shared" si="53"/>
        <v>0.15586745420705234</v>
      </c>
      <c r="L104" s="27">
        <f t="shared" si="55"/>
        <v>0.15586745420705234</v>
      </c>
    </row>
    <row r="105" spans="3:12" x14ac:dyDescent="0.25">
      <c r="C105" s="15" t="s">
        <v>5</v>
      </c>
      <c r="D105" s="15">
        <v>2023</v>
      </c>
      <c r="E105" s="23">
        <v>16</v>
      </c>
      <c r="F105" s="19">
        <f t="shared" ref="F105:G105" si="72">($N$83)*E105+($N$84)*F104</f>
        <v>15.359129001733745</v>
      </c>
      <c r="G105" s="19">
        <f t="shared" si="72"/>
        <v>14.632774623634967</v>
      </c>
      <c r="H105" s="19">
        <f t="shared" si="48"/>
        <v>16.085483379832525</v>
      </c>
      <c r="I105" s="19">
        <f t="shared" si="49"/>
        <v>1.6948268822304815</v>
      </c>
      <c r="J105" s="19">
        <f t="shared" si="50"/>
        <v>16.949815331472468</v>
      </c>
      <c r="K105" s="19">
        <f t="shared" si="53"/>
        <v>-5.9363458217029264E-2</v>
      </c>
      <c r="L105" s="27">
        <f t="shared" si="55"/>
        <v>5.9363458217029264E-2</v>
      </c>
    </row>
    <row r="106" spans="3:12" x14ac:dyDescent="0.25">
      <c r="C106" s="15" t="s">
        <v>6</v>
      </c>
      <c r="D106" s="15">
        <v>2023</v>
      </c>
      <c r="E106" s="23">
        <v>16</v>
      </c>
      <c r="F106" s="19">
        <f t="shared" ref="F106:G106" si="73">($N$83)*E106+($N$84)*F105</f>
        <v>15.807738700520122</v>
      </c>
      <c r="G106" s="19">
        <f t="shared" si="73"/>
        <v>15.455249477454574</v>
      </c>
      <c r="H106" s="19">
        <f t="shared" si="48"/>
        <v>16.160227923585673</v>
      </c>
      <c r="I106" s="19">
        <f t="shared" si="49"/>
        <v>0.82247485381961327</v>
      </c>
      <c r="J106" s="19">
        <f t="shared" si="50"/>
        <v>17.780310262063004</v>
      </c>
      <c r="K106" s="19">
        <f t="shared" si="53"/>
        <v>-0.11126939137893777</v>
      </c>
      <c r="L106" s="27">
        <f t="shared" si="55"/>
        <v>0.11126939137893777</v>
      </c>
    </row>
    <row r="107" spans="3:12" x14ac:dyDescent="0.25">
      <c r="C107" s="15" t="s">
        <v>7</v>
      </c>
      <c r="D107" s="15">
        <v>2023</v>
      </c>
      <c r="E107" s="23">
        <v>19</v>
      </c>
      <c r="F107" s="19">
        <f t="shared" ref="F107:G107" si="74">($N$83)*E107+($N$84)*F106</f>
        <v>18.042321610156037</v>
      </c>
      <c r="G107" s="19">
        <f t="shared" si="74"/>
        <v>17.266199970345596</v>
      </c>
      <c r="H107" s="19">
        <f t="shared" si="48"/>
        <v>18.818443249966478</v>
      </c>
      <c r="I107" s="19">
        <f t="shared" si="49"/>
        <v>1.8109504928910289</v>
      </c>
      <c r="J107" s="19">
        <f t="shared" si="50"/>
        <v>16.982702777405287</v>
      </c>
      <c r="K107" s="19">
        <f t="shared" si="53"/>
        <v>0.10617353803130071</v>
      </c>
      <c r="L107" s="27">
        <f t="shared" si="55"/>
        <v>0.10617353803130071</v>
      </c>
    </row>
    <row r="108" spans="3:12" x14ac:dyDescent="0.25">
      <c r="C108" s="15" t="s">
        <v>8</v>
      </c>
      <c r="D108" s="15">
        <v>2023</v>
      </c>
      <c r="E108" s="23">
        <v>20</v>
      </c>
      <c r="F108" s="19">
        <f t="shared" ref="F108:G108" si="75">($N$83)*E108+($N$84)*F107</f>
        <v>19.412696483046812</v>
      </c>
      <c r="G108" s="19">
        <f t="shared" si="75"/>
        <v>18.768747529236446</v>
      </c>
      <c r="H108" s="19">
        <f t="shared" si="48"/>
        <v>20.056645436857178</v>
      </c>
      <c r="I108" s="19">
        <f t="shared" si="49"/>
        <v>1.5025475588908535</v>
      </c>
      <c r="J108" s="19">
        <f t="shared" si="50"/>
        <v>20.629393742857506</v>
      </c>
      <c r="K108" s="19">
        <f t="shared" si="53"/>
        <v>-3.1469687142875277E-2</v>
      </c>
      <c r="L108" s="27">
        <f t="shared" si="55"/>
        <v>3.1469687142875277E-2</v>
      </c>
    </row>
    <row r="109" spans="3:12" x14ac:dyDescent="0.25">
      <c r="C109" s="15" t="s">
        <v>9</v>
      </c>
      <c r="D109" s="15">
        <v>2024</v>
      </c>
      <c r="E109" s="23">
        <v>19</v>
      </c>
      <c r="F109" s="19">
        <f t="shared" ref="F109:G109" si="76">($N$83)*E109+($N$84)*F108</f>
        <v>19.123808944914042</v>
      </c>
      <c r="G109" s="19">
        <f t="shared" si="76"/>
        <v>19.017290520210764</v>
      </c>
      <c r="H109" s="19">
        <f t="shared" si="48"/>
        <v>19.230327369617321</v>
      </c>
      <c r="I109" s="19">
        <f t="shared" si="49"/>
        <v>0.24854299097431584</v>
      </c>
      <c r="J109" s="19">
        <f t="shared" si="50"/>
        <v>21.559192995748031</v>
      </c>
      <c r="K109" s="19">
        <f t="shared" si="53"/>
        <v>-0.1346943681972648</v>
      </c>
      <c r="L109" s="27">
        <f t="shared" si="55"/>
        <v>0.1346943681972648</v>
      </c>
    </row>
    <row r="110" spans="3:12" x14ac:dyDescent="0.25">
      <c r="C110" s="15" t="s">
        <v>10</v>
      </c>
      <c r="D110" s="15">
        <v>2024</v>
      </c>
      <c r="E110" s="23">
        <v>13</v>
      </c>
      <c r="F110" s="19">
        <f t="shared" ref="F110:G110" si="77">($N$83)*E110+($N$84)*F109</f>
        <v>14.837142683474212</v>
      </c>
      <c r="G110" s="19">
        <f t="shared" si="77"/>
        <v>16.091187034495178</v>
      </c>
      <c r="H110" s="19">
        <f t="shared" si="48"/>
        <v>13.583098332453247</v>
      </c>
      <c r="I110" s="19">
        <f t="shared" si="49"/>
        <v>-2.9261034857155863</v>
      </c>
      <c r="J110" s="19">
        <f t="shared" si="50"/>
        <v>19.478870360591635</v>
      </c>
      <c r="K110" s="19">
        <f t="shared" si="53"/>
        <v>-0.49837464312243351</v>
      </c>
      <c r="L110" s="27">
        <f t="shared" si="55"/>
        <v>0.49837464312243351</v>
      </c>
    </row>
    <row r="111" spans="3:12" x14ac:dyDescent="0.25">
      <c r="C111" s="15" t="s">
        <v>11</v>
      </c>
      <c r="D111" s="15">
        <v>2024</v>
      </c>
      <c r="E111" s="23">
        <v>12</v>
      </c>
      <c r="F111" s="19">
        <f t="shared" ref="F111:G111" si="78">($N$83)*E111+($N$84)*F110</f>
        <v>12.851142805042262</v>
      </c>
      <c r="G111" s="19">
        <f t="shared" si="78"/>
        <v>13.823156073878136</v>
      </c>
      <c r="H111" s="19">
        <f t="shared" si="48"/>
        <v>11.879129536206387</v>
      </c>
      <c r="I111" s="19">
        <f t="shared" si="49"/>
        <v>-2.2680309606170415</v>
      </c>
      <c r="J111" s="19">
        <f t="shared" si="50"/>
        <v>10.656994846737661</v>
      </c>
      <c r="K111" s="19">
        <f t="shared" si="53"/>
        <v>0.11191709610519496</v>
      </c>
      <c r="L111" s="27">
        <f t="shared" si="55"/>
        <v>0.11191709610519496</v>
      </c>
    </row>
    <row r="112" spans="3:12" x14ac:dyDescent="0.25">
      <c r="C112" s="15" t="s">
        <v>12</v>
      </c>
      <c r="D112" s="15">
        <v>2024</v>
      </c>
      <c r="E112" s="23">
        <v>10</v>
      </c>
      <c r="F112" s="19">
        <f t="shared" ref="F112:G112" si="79">($N$83)*E112+($N$84)*F111</f>
        <v>10.855342841512678</v>
      </c>
      <c r="G112" s="19">
        <f t="shared" si="79"/>
        <v>11.745686811222315</v>
      </c>
      <c r="H112" s="19">
        <f t="shared" si="48"/>
        <v>9.9649988718030418</v>
      </c>
      <c r="I112" s="19">
        <f t="shared" si="49"/>
        <v>-2.0774692626558191</v>
      </c>
      <c r="J112" s="19">
        <f t="shared" si="50"/>
        <v>9.6110985755893452</v>
      </c>
      <c r="K112" s="19">
        <f t="shared" si="53"/>
        <v>3.8890142441065478E-2</v>
      </c>
      <c r="L112" s="27">
        <f t="shared" si="55"/>
        <v>3.8890142441065478E-2</v>
      </c>
    </row>
    <row r="113" spans="3:14" x14ac:dyDescent="0.25">
      <c r="C113" s="15" t="s">
        <v>13</v>
      </c>
      <c r="D113" s="15">
        <v>2024</v>
      </c>
      <c r="E113" s="23">
        <v>10</v>
      </c>
      <c r="F113" s="19">
        <f t="shared" ref="F113:G113" si="80">($N$83)*E113+($N$84)*F112</f>
        <v>10.256602852453803</v>
      </c>
      <c r="G113" s="19">
        <f t="shared" si="80"/>
        <v>10.703328040084356</v>
      </c>
      <c r="H113" s="19">
        <f t="shared" si="48"/>
        <v>9.8098776648232491</v>
      </c>
      <c r="I113" s="19">
        <f t="shared" si="49"/>
        <v>-1.0423587711379585</v>
      </c>
      <c r="J113" s="19">
        <f t="shared" si="50"/>
        <v>7.8875296091472222</v>
      </c>
      <c r="K113" s="19">
        <f t="shared" si="53"/>
        <v>0.21124703908527778</v>
      </c>
      <c r="L113" s="27">
        <f t="shared" si="55"/>
        <v>0.21124703908527778</v>
      </c>
    </row>
    <row r="114" spans="3:14" x14ac:dyDescent="0.25">
      <c r="C114" s="15" t="s">
        <v>2</v>
      </c>
      <c r="D114" s="15">
        <v>2024</v>
      </c>
      <c r="E114" s="23">
        <v>12</v>
      </c>
      <c r="F114" s="19">
        <f t="shared" ref="F114:G114" si="81">($N$83)*E114+($N$84)*F113</f>
        <v>11.476980855736139</v>
      </c>
      <c r="G114" s="19">
        <f t="shared" si="81"/>
        <v>11.244885011040603</v>
      </c>
      <c r="H114" s="19">
        <f t="shared" si="48"/>
        <v>11.709076700431675</v>
      </c>
      <c r="I114" s="19">
        <f t="shared" si="49"/>
        <v>0.54155697095625044</v>
      </c>
      <c r="J114" s="19">
        <f t="shared" si="50"/>
        <v>8.7675188936852901</v>
      </c>
      <c r="K114" s="19">
        <f t="shared" si="53"/>
        <v>0.26937342552622584</v>
      </c>
      <c r="L114" s="27">
        <f t="shared" si="55"/>
        <v>0.26937342552622584</v>
      </c>
    </row>
    <row r="115" spans="3:14" x14ac:dyDescent="0.25">
      <c r="C115" s="15" t="s">
        <v>4</v>
      </c>
      <c r="D115" s="15">
        <v>2024</v>
      </c>
      <c r="E115" s="23">
        <v>13</v>
      </c>
      <c r="F115" s="19">
        <f t="shared" ref="F115:G115" si="82">($N$83)*E115+($N$84)*F114</f>
        <v>12.543094256720842</v>
      </c>
      <c r="G115" s="19">
        <f t="shared" si="82"/>
        <v>12.153631483016769</v>
      </c>
      <c r="H115" s="19">
        <f t="shared" si="48"/>
        <v>12.932557030424915</v>
      </c>
      <c r="I115" s="19">
        <f t="shared" si="49"/>
        <v>0.90874647197617098</v>
      </c>
      <c r="J115" s="19">
        <f t="shared" si="50"/>
        <v>12.250633671387925</v>
      </c>
      <c r="K115" s="19">
        <f t="shared" si="53"/>
        <v>5.7643563739390356E-2</v>
      </c>
      <c r="L115" s="27">
        <f t="shared" si="55"/>
        <v>5.7643563739390356E-2</v>
      </c>
    </row>
    <row r="116" spans="3:14" x14ac:dyDescent="0.25">
      <c r="C116" s="15" t="s">
        <v>3</v>
      </c>
      <c r="D116" s="15">
        <v>2024</v>
      </c>
      <c r="E116" s="23">
        <v>15</v>
      </c>
      <c r="F116" s="19">
        <f t="shared" ref="F116:G116" si="83">($N$83)*E116+($N$84)*F115</f>
        <v>14.262928277016252</v>
      </c>
      <c r="G116" s="19">
        <f t="shared" si="83"/>
        <v>13.630139238816406</v>
      </c>
      <c r="H116" s="19">
        <f t="shared" si="48"/>
        <v>14.895717315216098</v>
      </c>
      <c r="I116" s="19">
        <f t="shared" si="49"/>
        <v>1.4765077557996402</v>
      </c>
      <c r="J116" s="19">
        <f t="shared" si="50"/>
        <v>13.841303502401086</v>
      </c>
      <c r="K116" s="19">
        <f t="shared" si="53"/>
        <v>7.7246433173260937E-2</v>
      </c>
      <c r="L116" s="27">
        <f t="shared" si="55"/>
        <v>7.7246433173260937E-2</v>
      </c>
    </row>
    <row r="117" spans="3:14" x14ac:dyDescent="0.25">
      <c r="C117" s="15" t="s">
        <v>5</v>
      </c>
      <c r="D117" s="15">
        <v>2024</v>
      </c>
      <c r="E117" s="23">
        <v>15</v>
      </c>
      <c r="F117" s="19">
        <f t="shared" ref="F117:G117" si="84">($N$83)*E117+($N$84)*F116</f>
        <v>14.778878483104876</v>
      </c>
      <c r="G117" s="19">
        <f t="shared" si="84"/>
        <v>14.434256709818335</v>
      </c>
      <c r="H117" s="19">
        <f t="shared" si="48"/>
        <v>15.123500256391416</v>
      </c>
      <c r="I117" s="19">
        <f t="shared" si="49"/>
        <v>0.80411747100192821</v>
      </c>
      <c r="J117" s="19">
        <f t="shared" si="50"/>
        <v>16.372225071015738</v>
      </c>
      <c r="K117" s="19">
        <f t="shared" si="53"/>
        <v>-9.1481671401049167E-2</v>
      </c>
      <c r="L117" s="27">
        <f t="shared" si="55"/>
        <v>9.1481671401049167E-2</v>
      </c>
    </row>
    <row r="118" spans="3:14" x14ac:dyDescent="0.25">
      <c r="C118" s="15" t="s">
        <v>6</v>
      </c>
      <c r="D118" s="15">
        <v>2024</v>
      </c>
      <c r="E118" s="23">
        <v>18</v>
      </c>
      <c r="F118" s="19">
        <f t="shared" ref="F118:G118" si="85">($N$83)*E118+($N$84)*F117</f>
        <v>17.033663544931464</v>
      </c>
      <c r="G118" s="19">
        <f t="shared" si="85"/>
        <v>16.253841494397523</v>
      </c>
      <c r="H118" s="19">
        <f t="shared" si="48"/>
        <v>17.813485595465405</v>
      </c>
      <c r="I118" s="19">
        <f t="shared" si="49"/>
        <v>1.8195847845791955</v>
      </c>
      <c r="J118" s="19">
        <f t="shared" si="50"/>
        <v>15.927617727393345</v>
      </c>
      <c r="K118" s="19">
        <f t="shared" si="53"/>
        <v>0.11513234847814749</v>
      </c>
      <c r="L118" s="27">
        <f t="shared" si="55"/>
        <v>0.11513234847814749</v>
      </c>
    </row>
    <row r="119" spans="3:14" x14ac:dyDescent="0.25">
      <c r="C119" s="15" t="s">
        <v>7</v>
      </c>
      <c r="D119" s="15">
        <v>2024</v>
      </c>
      <c r="E119" s="23">
        <v>20</v>
      </c>
      <c r="F119" s="19">
        <f t="shared" ref="F119:G119" si="86">($N$83)*E119+($N$84)*F118</f>
        <v>19.110099063479439</v>
      </c>
      <c r="G119" s="19">
        <f t="shared" si="86"/>
        <v>18.253221792754864</v>
      </c>
      <c r="H119" s="19">
        <f t="shared" si="48"/>
        <v>19.966976334204013</v>
      </c>
      <c r="I119" s="19">
        <f t="shared" si="49"/>
        <v>1.9993802983573399</v>
      </c>
      <c r="J119" s="19">
        <f t="shared" si="50"/>
        <v>19.6330703800446</v>
      </c>
      <c r="K119" s="19">
        <f t="shared" si="53"/>
        <v>1.8346480997769987E-2</v>
      </c>
      <c r="L119" s="27">
        <f t="shared" si="55"/>
        <v>1.8346480997769987E-2</v>
      </c>
    </row>
    <row r="120" spans="3:14" x14ac:dyDescent="0.25">
      <c r="C120" s="21" t="s">
        <v>8</v>
      </c>
      <c r="D120" s="21">
        <v>2024</v>
      </c>
      <c r="E120" s="24"/>
      <c r="F120" s="8"/>
      <c r="G120" s="8"/>
      <c r="H120" s="8"/>
      <c r="I120" s="8"/>
      <c r="J120" s="8">
        <f>H119+I119</f>
        <v>21.966356632561354</v>
      </c>
      <c r="K120" s="8" t="s">
        <v>21</v>
      </c>
      <c r="L120" s="28">
        <f>100/36*SUM(L85:L119)</f>
        <v>11.454220415756172</v>
      </c>
    </row>
    <row r="123" spans="3:14" x14ac:dyDescent="0.25">
      <c r="C123" s="18" t="s">
        <v>0</v>
      </c>
      <c r="D123" s="18" t="s">
        <v>1</v>
      </c>
      <c r="E123" s="18" t="s">
        <v>22</v>
      </c>
      <c r="F123" s="18" t="s">
        <v>14</v>
      </c>
      <c r="G123" s="18" t="s">
        <v>15</v>
      </c>
      <c r="H123" s="18" t="s">
        <v>16</v>
      </c>
      <c r="I123" s="18" t="s">
        <v>17</v>
      </c>
      <c r="J123" s="18" t="s">
        <v>18</v>
      </c>
      <c r="K123" s="18" t="s">
        <v>19</v>
      </c>
      <c r="L123" s="26" t="s">
        <v>20</v>
      </c>
      <c r="N123" s="11">
        <v>0.6</v>
      </c>
    </row>
    <row r="124" spans="3:14" x14ac:dyDescent="0.25">
      <c r="C124" s="15" t="s">
        <v>8</v>
      </c>
      <c r="D124" s="15">
        <v>2021</v>
      </c>
      <c r="E124" s="23">
        <v>15</v>
      </c>
      <c r="F124" s="23">
        <v>15</v>
      </c>
      <c r="G124" s="23">
        <v>15</v>
      </c>
      <c r="H124" s="23">
        <v>15</v>
      </c>
      <c r="I124" s="19">
        <v>0</v>
      </c>
      <c r="J124" s="19"/>
      <c r="K124" s="19"/>
      <c r="L124" s="27"/>
      <c r="N124" s="11">
        <v>0.4</v>
      </c>
    </row>
    <row r="125" spans="3:14" x14ac:dyDescent="0.25">
      <c r="C125" s="15" t="s">
        <v>9</v>
      </c>
      <c r="D125" s="15">
        <v>2022</v>
      </c>
      <c r="E125" s="23">
        <v>12</v>
      </c>
      <c r="F125" s="19">
        <f>($N$123)*E125+($N$124)*F124</f>
        <v>13.2</v>
      </c>
      <c r="G125" s="19">
        <f>($N$123)*F125+($N$124)*G124</f>
        <v>13.919999999999998</v>
      </c>
      <c r="H125" s="19">
        <f>2*(F125)-(G125)</f>
        <v>12.48</v>
      </c>
      <c r="I125" s="19">
        <f>$N$123/$N$124*(F125-G125)</f>
        <v>-1.0799999999999981</v>
      </c>
      <c r="J125" s="19">
        <f>H124+I124</f>
        <v>15</v>
      </c>
      <c r="K125" s="19">
        <f>(E125-J125)/E125</f>
        <v>-0.25</v>
      </c>
      <c r="L125" s="27">
        <f>ABS(K125)</f>
        <v>0.25</v>
      </c>
    </row>
    <row r="126" spans="3:14" x14ac:dyDescent="0.25">
      <c r="C126" s="15" t="s">
        <v>10</v>
      </c>
      <c r="D126" s="15">
        <v>2022</v>
      </c>
      <c r="E126" s="23">
        <v>11</v>
      </c>
      <c r="F126" s="19">
        <f t="shared" ref="F126:G126" si="87">($N$123)*E126+($N$124)*F125</f>
        <v>11.879999999999999</v>
      </c>
      <c r="G126" s="19">
        <f t="shared" si="87"/>
        <v>12.695999999999998</v>
      </c>
      <c r="H126" s="19">
        <f t="shared" ref="H126:H159" si="88">2*(F126)-(G126)</f>
        <v>11.064</v>
      </c>
      <c r="I126" s="19">
        <f t="shared" ref="I126:I159" si="89">$N$123/$N$124*(F126-G126)</f>
        <v>-1.2239999999999982</v>
      </c>
      <c r="J126" s="19">
        <f t="shared" ref="J126:J159" si="90">H125+I125</f>
        <v>11.400000000000002</v>
      </c>
      <c r="K126" s="19">
        <f>(E126-J126)/E126</f>
        <v>-3.6363636363636556E-2</v>
      </c>
      <c r="L126" s="27">
        <f t="shared" ref="L126" si="91">ABS(K126)</f>
        <v>3.6363636363636556E-2</v>
      </c>
    </row>
    <row r="127" spans="3:14" x14ac:dyDescent="0.25">
      <c r="C127" s="15" t="s">
        <v>11</v>
      </c>
      <c r="D127" s="15">
        <v>2022</v>
      </c>
      <c r="E127" s="23">
        <v>10</v>
      </c>
      <c r="F127" s="19">
        <f t="shared" ref="F127:G127" si="92">($N$123)*E127+($N$124)*F126</f>
        <v>10.751999999999999</v>
      </c>
      <c r="G127" s="19">
        <f t="shared" si="92"/>
        <v>11.529599999999999</v>
      </c>
      <c r="H127" s="19">
        <f t="shared" si="88"/>
        <v>9.9743999999999993</v>
      </c>
      <c r="I127" s="19">
        <f t="shared" si="89"/>
        <v>-1.1663999999999992</v>
      </c>
      <c r="J127" s="19">
        <f t="shared" si="90"/>
        <v>9.8400000000000016</v>
      </c>
      <c r="K127" s="19">
        <f t="shared" ref="K127:K159" si="93">(E127-J127)/E127</f>
        <v>1.5999999999999837E-2</v>
      </c>
      <c r="L127" s="27">
        <f>ABS(K127)</f>
        <v>1.5999999999999837E-2</v>
      </c>
    </row>
    <row r="128" spans="3:14" x14ac:dyDescent="0.25">
      <c r="C128" s="15" t="s">
        <v>12</v>
      </c>
      <c r="D128" s="15">
        <v>2022</v>
      </c>
      <c r="E128" s="23">
        <v>9</v>
      </c>
      <c r="F128" s="19">
        <f t="shared" ref="F128:G128" si="94">($N$123)*E128+($N$124)*F127</f>
        <v>9.7007999999999992</v>
      </c>
      <c r="G128" s="19">
        <f t="shared" si="94"/>
        <v>10.432319999999999</v>
      </c>
      <c r="H128" s="19">
        <f t="shared" si="88"/>
        <v>8.9692799999999995</v>
      </c>
      <c r="I128" s="19">
        <f t="shared" si="89"/>
        <v>-1.0972799999999994</v>
      </c>
      <c r="J128" s="19">
        <f t="shared" si="90"/>
        <v>8.8079999999999998</v>
      </c>
      <c r="K128" s="19">
        <f t="shared" si="93"/>
        <v>2.1333333333333353E-2</v>
      </c>
      <c r="L128" s="27">
        <f t="shared" ref="L128:L159" si="95">ABS(K128)</f>
        <v>2.1333333333333353E-2</v>
      </c>
    </row>
    <row r="129" spans="3:12" x14ac:dyDescent="0.25">
      <c r="C129" s="15" t="s">
        <v>13</v>
      </c>
      <c r="D129" s="15">
        <v>2022</v>
      </c>
      <c r="E129" s="23">
        <v>10</v>
      </c>
      <c r="F129" s="19">
        <f t="shared" ref="F129:G129" si="96">($N$123)*E129+($N$124)*F128</f>
        <v>9.8803199999999993</v>
      </c>
      <c r="G129" s="19">
        <f t="shared" si="96"/>
        <v>10.101119999999998</v>
      </c>
      <c r="H129" s="19">
        <f t="shared" si="88"/>
        <v>9.6595200000000006</v>
      </c>
      <c r="I129" s="19">
        <f t="shared" si="89"/>
        <v>-0.33119999999999811</v>
      </c>
      <c r="J129" s="19">
        <f t="shared" si="90"/>
        <v>7.8719999999999999</v>
      </c>
      <c r="K129" s="19">
        <f t="shared" si="93"/>
        <v>0.21280000000000002</v>
      </c>
      <c r="L129" s="27">
        <f t="shared" si="95"/>
        <v>0.21280000000000002</v>
      </c>
    </row>
    <row r="130" spans="3:12" x14ac:dyDescent="0.25">
      <c r="C130" s="15" t="s">
        <v>2</v>
      </c>
      <c r="D130" s="15">
        <v>2022</v>
      </c>
      <c r="E130" s="23">
        <v>12</v>
      </c>
      <c r="F130" s="19">
        <f t="shared" ref="F130:G130" si="97">($N$123)*E130+($N$124)*F129</f>
        <v>11.152127999999999</v>
      </c>
      <c r="G130" s="19">
        <f t="shared" si="97"/>
        <v>10.731724799999999</v>
      </c>
      <c r="H130" s="19">
        <f t="shared" si="88"/>
        <v>11.5725312</v>
      </c>
      <c r="I130" s="19">
        <f t="shared" si="89"/>
        <v>0.63060480000000119</v>
      </c>
      <c r="J130" s="19">
        <f t="shared" si="90"/>
        <v>9.3283200000000033</v>
      </c>
      <c r="K130" s="19">
        <f t="shared" si="93"/>
        <v>0.22263999999999973</v>
      </c>
      <c r="L130" s="27">
        <f t="shared" si="95"/>
        <v>0.22263999999999973</v>
      </c>
    </row>
    <row r="131" spans="3:12" x14ac:dyDescent="0.25">
      <c r="C131" s="15" t="s">
        <v>4</v>
      </c>
      <c r="D131" s="15">
        <v>2022</v>
      </c>
      <c r="E131" s="23">
        <v>14</v>
      </c>
      <c r="F131" s="19">
        <f t="shared" ref="F131:G131" si="98">($N$123)*E131+($N$124)*F130</f>
        <v>12.860851199999999</v>
      </c>
      <c r="G131" s="19">
        <f t="shared" si="98"/>
        <v>12.00920064</v>
      </c>
      <c r="H131" s="19">
        <f t="shared" si="88"/>
        <v>13.712501759999999</v>
      </c>
      <c r="I131" s="19">
        <f t="shared" si="89"/>
        <v>1.277475839999999</v>
      </c>
      <c r="J131" s="19">
        <f t="shared" si="90"/>
        <v>12.203136000000001</v>
      </c>
      <c r="K131" s="19">
        <f t="shared" si="93"/>
        <v>0.12834742857142853</v>
      </c>
      <c r="L131" s="27">
        <f t="shared" si="95"/>
        <v>0.12834742857142853</v>
      </c>
    </row>
    <row r="132" spans="3:12" x14ac:dyDescent="0.25">
      <c r="C132" s="15" t="s">
        <v>3</v>
      </c>
      <c r="D132" s="15">
        <v>2022</v>
      </c>
      <c r="E132" s="23">
        <v>15</v>
      </c>
      <c r="F132" s="19">
        <f t="shared" ref="F132:G132" si="99">($N$123)*E132+($N$124)*F131</f>
        <v>14.14434048</v>
      </c>
      <c r="G132" s="19">
        <f t="shared" si="99"/>
        <v>13.290284544</v>
      </c>
      <c r="H132" s="19">
        <f t="shared" si="88"/>
        <v>14.998396416</v>
      </c>
      <c r="I132" s="19">
        <f t="shared" si="89"/>
        <v>1.2810839039999997</v>
      </c>
      <c r="J132" s="19">
        <f t="shared" si="90"/>
        <v>14.989977599999998</v>
      </c>
      <c r="K132" s="19">
        <f t="shared" si="93"/>
        <v>6.6816000000014713E-4</v>
      </c>
      <c r="L132" s="27">
        <f t="shared" si="95"/>
        <v>6.6816000000014713E-4</v>
      </c>
    </row>
    <row r="133" spans="3:12" x14ac:dyDescent="0.25">
      <c r="C133" s="15" t="s">
        <v>5</v>
      </c>
      <c r="D133" s="15">
        <v>2022</v>
      </c>
      <c r="E133" s="23">
        <v>18</v>
      </c>
      <c r="F133" s="19">
        <f t="shared" ref="F133:G133" si="100">($N$123)*E133+($N$124)*F132</f>
        <v>16.457736191999999</v>
      </c>
      <c r="G133" s="19">
        <f t="shared" si="100"/>
        <v>15.190755532800001</v>
      </c>
      <c r="H133" s="19">
        <f t="shared" si="88"/>
        <v>17.724716851199997</v>
      </c>
      <c r="I133" s="19">
        <f t="shared" si="89"/>
        <v>1.9004709887999967</v>
      </c>
      <c r="J133" s="19">
        <f t="shared" si="90"/>
        <v>16.279480320000001</v>
      </c>
      <c r="K133" s="19">
        <f t="shared" si="93"/>
        <v>9.5584426666666611E-2</v>
      </c>
      <c r="L133" s="27">
        <f t="shared" si="95"/>
        <v>9.5584426666666611E-2</v>
      </c>
    </row>
    <row r="134" spans="3:12" x14ac:dyDescent="0.25">
      <c r="C134" s="15" t="s">
        <v>6</v>
      </c>
      <c r="D134" s="15">
        <v>2022</v>
      </c>
      <c r="E134" s="23">
        <v>19</v>
      </c>
      <c r="F134" s="19">
        <f t="shared" ref="F134:G134" si="101">($N$123)*E134+($N$124)*F133</f>
        <v>17.983094476799998</v>
      </c>
      <c r="G134" s="19">
        <f t="shared" si="101"/>
        <v>16.866158899199998</v>
      </c>
      <c r="H134" s="19">
        <f t="shared" si="88"/>
        <v>19.100030054399998</v>
      </c>
      <c r="I134" s="19">
        <f t="shared" si="89"/>
        <v>1.6754033663999992</v>
      </c>
      <c r="J134" s="19">
        <f t="shared" si="90"/>
        <v>19.625187839999992</v>
      </c>
      <c r="K134" s="19">
        <f t="shared" si="93"/>
        <v>-3.2904623157894303E-2</v>
      </c>
      <c r="L134" s="27">
        <f t="shared" si="95"/>
        <v>3.2904623157894303E-2</v>
      </c>
    </row>
    <row r="135" spans="3:12" x14ac:dyDescent="0.25">
      <c r="C135" s="15" t="s">
        <v>7</v>
      </c>
      <c r="D135" s="15">
        <v>2022</v>
      </c>
      <c r="E135" s="23">
        <v>20</v>
      </c>
      <c r="F135" s="19">
        <f t="shared" ref="F135:G135" si="102">($N$123)*E135+($N$124)*F134</f>
        <v>19.193237790719998</v>
      </c>
      <c r="G135" s="19">
        <f t="shared" si="102"/>
        <v>18.262406234111999</v>
      </c>
      <c r="H135" s="19">
        <f t="shared" si="88"/>
        <v>20.124069347327996</v>
      </c>
      <c r="I135" s="19">
        <f t="shared" si="89"/>
        <v>1.3962473349119973</v>
      </c>
      <c r="J135" s="19">
        <f t="shared" si="90"/>
        <v>20.775433420799995</v>
      </c>
      <c r="K135" s="19">
        <f t="shared" si="93"/>
        <v>-3.8771671039999768E-2</v>
      </c>
      <c r="L135" s="27">
        <f t="shared" si="95"/>
        <v>3.8771671039999768E-2</v>
      </c>
    </row>
    <row r="136" spans="3:12" x14ac:dyDescent="0.25">
      <c r="C136" s="15" t="s">
        <v>8</v>
      </c>
      <c r="D136" s="15">
        <v>2022</v>
      </c>
      <c r="E136" s="23">
        <v>18</v>
      </c>
      <c r="F136" s="19">
        <f t="shared" ref="F136:G136" si="103">($N$123)*E136+($N$124)*F135</f>
        <v>18.477295116287998</v>
      </c>
      <c r="G136" s="19">
        <f t="shared" si="103"/>
        <v>18.391339563417599</v>
      </c>
      <c r="H136" s="19">
        <f t="shared" si="88"/>
        <v>18.563250669158396</v>
      </c>
      <c r="I136" s="19">
        <f t="shared" si="89"/>
        <v>0.12893332930559784</v>
      </c>
      <c r="J136" s="19">
        <f t="shared" si="90"/>
        <v>21.520316682239994</v>
      </c>
      <c r="K136" s="19">
        <f t="shared" si="93"/>
        <v>-0.19557314901333298</v>
      </c>
      <c r="L136" s="27">
        <f t="shared" si="95"/>
        <v>0.19557314901333298</v>
      </c>
    </row>
    <row r="137" spans="3:12" x14ac:dyDescent="0.25">
      <c r="C137" s="15" t="s">
        <v>9</v>
      </c>
      <c r="D137" s="15">
        <v>2023</v>
      </c>
      <c r="E137" s="23">
        <v>15</v>
      </c>
      <c r="F137" s="19">
        <f t="shared" ref="F137:G137" si="104">($N$123)*E137+($N$124)*F136</f>
        <v>16.3909180465152</v>
      </c>
      <c r="G137" s="19">
        <f t="shared" si="104"/>
        <v>17.191086653276159</v>
      </c>
      <c r="H137" s="19">
        <f t="shared" si="88"/>
        <v>15.590749439754241</v>
      </c>
      <c r="I137" s="19">
        <f t="shared" si="89"/>
        <v>-1.2002529101414383</v>
      </c>
      <c r="J137" s="19">
        <f t="shared" si="90"/>
        <v>18.692183998463992</v>
      </c>
      <c r="K137" s="19">
        <f t="shared" si="93"/>
        <v>-0.24614559989759949</v>
      </c>
      <c r="L137" s="27">
        <f t="shared" si="95"/>
        <v>0.24614559989759949</v>
      </c>
    </row>
    <row r="138" spans="3:12" x14ac:dyDescent="0.25">
      <c r="C138" s="15" t="s">
        <v>10</v>
      </c>
      <c r="D138" s="15">
        <v>2023</v>
      </c>
      <c r="E138" s="23">
        <v>14</v>
      </c>
      <c r="F138" s="19">
        <f t="shared" ref="F138:G138" si="105">($N$123)*E138+($N$124)*F137</f>
        <v>14.956367218606081</v>
      </c>
      <c r="G138" s="19">
        <f t="shared" si="105"/>
        <v>15.850254992474111</v>
      </c>
      <c r="H138" s="19">
        <f t="shared" si="88"/>
        <v>14.062479444738051</v>
      </c>
      <c r="I138" s="19">
        <f t="shared" si="89"/>
        <v>-1.3408316608020454</v>
      </c>
      <c r="J138" s="19">
        <f t="shared" si="90"/>
        <v>14.390496529612802</v>
      </c>
      <c r="K138" s="19">
        <f t="shared" si="93"/>
        <v>-2.7892609258057303E-2</v>
      </c>
      <c r="L138" s="27">
        <f t="shared" si="95"/>
        <v>2.7892609258057303E-2</v>
      </c>
    </row>
    <row r="139" spans="3:12" x14ac:dyDescent="0.25">
      <c r="C139" s="15" t="s">
        <v>11</v>
      </c>
      <c r="D139" s="15">
        <v>2023</v>
      </c>
      <c r="E139" s="23">
        <v>12</v>
      </c>
      <c r="F139" s="19">
        <f t="shared" ref="F139:G139" si="106">($N$123)*E139+($N$124)*F138</f>
        <v>13.182546887442431</v>
      </c>
      <c r="G139" s="19">
        <f t="shared" si="106"/>
        <v>14.249630129455102</v>
      </c>
      <c r="H139" s="19">
        <f t="shared" si="88"/>
        <v>12.11546364542976</v>
      </c>
      <c r="I139" s="19">
        <f t="shared" si="89"/>
        <v>-1.600624863019007</v>
      </c>
      <c r="J139" s="19">
        <f t="shared" si="90"/>
        <v>12.721647783936005</v>
      </c>
      <c r="K139" s="19">
        <f t="shared" si="93"/>
        <v>-6.0137315328000408E-2</v>
      </c>
      <c r="L139" s="27">
        <f t="shared" si="95"/>
        <v>6.0137315328000408E-2</v>
      </c>
    </row>
    <row r="140" spans="3:12" x14ac:dyDescent="0.25">
      <c r="C140" s="15" t="s">
        <v>12</v>
      </c>
      <c r="D140" s="15">
        <v>2023</v>
      </c>
      <c r="E140" s="23">
        <v>10</v>
      </c>
      <c r="F140" s="19">
        <f t="shared" ref="F140:G140" si="107">($N$123)*E140+($N$124)*F139</f>
        <v>11.273018754976974</v>
      </c>
      <c r="G140" s="19">
        <f t="shared" si="107"/>
        <v>12.463663304768225</v>
      </c>
      <c r="H140" s="19">
        <f t="shared" si="88"/>
        <v>10.082374205185722</v>
      </c>
      <c r="I140" s="19">
        <f t="shared" si="89"/>
        <v>-1.785966824686877</v>
      </c>
      <c r="J140" s="19">
        <f t="shared" si="90"/>
        <v>10.514838782410752</v>
      </c>
      <c r="K140" s="19">
        <f t="shared" si="93"/>
        <v>-5.1483878241075233E-2</v>
      </c>
      <c r="L140" s="27">
        <f t="shared" si="95"/>
        <v>5.1483878241075233E-2</v>
      </c>
    </row>
    <row r="141" spans="3:12" x14ac:dyDescent="0.25">
      <c r="C141" s="15" t="s">
        <v>13</v>
      </c>
      <c r="D141" s="15">
        <v>2023</v>
      </c>
      <c r="E141" s="23">
        <v>10</v>
      </c>
      <c r="F141" s="19">
        <f t="shared" ref="F141:G141" si="108">($N$123)*E141+($N$124)*F140</f>
        <v>10.50920750199079</v>
      </c>
      <c r="G141" s="19">
        <f t="shared" si="108"/>
        <v>11.290989823101764</v>
      </c>
      <c r="H141" s="19">
        <f t="shared" si="88"/>
        <v>9.7274251808798162</v>
      </c>
      <c r="I141" s="19">
        <f t="shared" si="89"/>
        <v>-1.1726734816664608</v>
      </c>
      <c r="J141" s="19">
        <f t="shared" si="90"/>
        <v>8.2964073804988452</v>
      </c>
      <c r="K141" s="19">
        <f t="shared" si="93"/>
        <v>0.17035926195011547</v>
      </c>
      <c r="L141" s="27">
        <f t="shared" si="95"/>
        <v>0.17035926195011547</v>
      </c>
    </row>
    <row r="142" spans="3:12" x14ac:dyDescent="0.25">
      <c r="C142" s="15" t="s">
        <v>2</v>
      </c>
      <c r="D142" s="15">
        <v>2023</v>
      </c>
      <c r="E142" s="23">
        <v>9</v>
      </c>
      <c r="F142" s="19">
        <f t="shared" ref="F142:G142" si="109">($N$123)*E142+($N$124)*F141</f>
        <v>9.6036830007963161</v>
      </c>
      <c r="G142" s="19">
        <f t="shared" si="109"/>
        <v>10.278605729718496</v>
      </c>
      <c r="H142" s="19">
        <f t="shared" si="88"/>
        <v>8.9287602718741361</v>
      </c>
      <c r="I142" s="19">
        <f t="shared" si="89"/>
        <v>-1.0123840933832697</v>
      </c>
      <c r="J142" s="19">
        <f t="shared" si="90"/>
        <v>8.5547516992133552</v>
      </c>
      <c r="K142" s="19">
        <f t="shared" si="93"/>
        <v>4.9472033420738311E-2</v>
      </c>
      <c r="L142" s="27">
        <f t="shared" si="95"/>
        <v>4.9472033420738311E-2</v>
      </c>
    </row>
    <row r="143" spans="3:12" x14ac:dyDescent="0.25">
      <c r="C143" s="15" t="s">
        <v>4</v>
      </c>
      <c r="D143" s="15">
        <v>2023</v>
      </c>
      <c r="E143" s="23">
        <v>12</v>
      </c>
      <c r="F143" s="19">
        <f t="shared" ref="F143:G143" si="110">($N$123)*E143+($N$124)*F142</f>
        <v>11.041473200318526</v>
      </c>
      <c r="G143" s="19">
        <f t="shared" si="110"/>
        <v>10.736326212078515</v>
      </c>
      <c r="H143" s="19">
        <f t="shared" si="88"/>
        <v>11.346620188558537</v>
      </c>
      <c r="I143" s="19">
        <f t="shared" si="89"/>
        <v>0.45772048236001689</v>
      </c>
      <c r="J143" s="19">
        <f t="shared" si="90"/>
        <v>7.9163761784908662</v>
      </c>
      <c r="K143" s="19">
        <f t="shared" si="93"/>
        <v>0.34030198512576115</v>
      </c>
      <c r="L143" s="27">
        <f t="shared" si="95"/>
        <v>0.34030198512576115</v>
      </c>
    </row>
    <row r="144" spans="3:12" x14ac:dyDescent="0.25">
      <c r="C144" s="15" t="s">
        <v>3</v>
      </c>
      <c r="D144" s="15">
        <v>2023</v>
      </c>
      <c r="E144" s="23">
        <v>15</v>
      </c>
      <c r="F144" s="19">
        <f t="shared" ref="F144:G144" si="111">($N$123)*E144+($N$124)*F143</f>
        <v>13.416589280127411</v>
      </c>
      <c r="G144" s="19">
        <f t="shared" si="111"/>
        <v>12.344484052907852</v>
      </c>
      <c r="H144" s="19">
        <f t="shared" si="88"/>
        <v>14.48869450734697</v>
      </c>
      <c r="I144" s="19">
        <f t="shared" si="89"/>
        <v>1.6081578408293387</v>
      </c>
      <c r="J144" s="19">
        <f t="shared" si="90"/>
        <v>11.804340670918554</v>
      </c>
      <c r="K144" s="19">
        <f t="shared" si="93"/>
        <v>0.21304395527209638</v>
      </c>
      <c r="L144" s="27">
        <f t="shared" si="95"/>
        <v>0.21304395527209638</v>
      </c>
    </row>
    <row r="145" spans="3:12" x14ac:dyDescent="0.25">
      <c r="C145" s="15" t="s">
        <v>5</v>
      </c>
      <c r="D145" s="15">
        <v>2023</v>
      </c>
      <c r="E145" s="23">
        <v>16</v>
      </c>
      <c r="F145" s="19">
        <f t="shared" ref="F145:G145" si="112">($N$123)*E145+($N$124)*F144</f>
        <v>14.966635712050964</v>
      </c>
      <c r="G145" s="19">
        <f t="shared" si="112"/>
        <v>13.91777504839372</v>
      </c>
      <c r="H145" s="19">
        <f t="shared" si="88"/>
        <v>16.01549637570821</v>
      </c>
      <c r="I145" s="19">
        <f t="shared" si="89"/>
        <v>1.573290995485866</v>
      </c>
      <c r="J145" s="19">
        <f t="shared" si="90"/>
        <v>16.096852348176309</v>
      </c>
      <c r="K145" s="19">
        <f t="shared" si="93"/>
        <v>-6.0532717610193298E-3</v>
      </c>
      <c r="L145" s="27">
        <f t="shared" si="95"/>
        <v>6.0532717610193298E-3</v>
      </c>
    </row>
    <row r="146" spans="3:12" x14ac:dyDescent="0.25">
      <c r="C146" s="15" t="s">
        <v>6</v>
      </c>
      <c r="D146" s="15">
        <v>2023</v>
      </c>
      <c r="E146" s="23">
        <v>16</v>
      </c>
      <c r="F146" s="19">
        <f t="shared" ref="F146:G146" si="113">($N$123)*E146+($N$124)*F145</f>
        <v>15.586654284820385</v>
      </c>
      <c r="G146" s="19">
        <f t="shared" si="113"/>
        <v>14.919102590249718</v>
      </c>
      <c r="H146" s="19">
        <f t="shared" si="88"/>
        <v>16.254205979391052</v>
      </c>
      <c r="I146" s="19">
        <f t="shared" si="89"/>
        <v>1.0013275418560006</v>
      </c>
      <c r="J146" s="19">
        <f t="shared" si="90"/>
        <v>17.588787371194076</v>
      </c>
      <c r="K146" s="19">
        <f t="shared" si="93"/>
        <v>-9.929921069962977E-2</v>
      </c>
      <c r="L146" s="27">
        <f t="shared" si="95"/>
        <v>9.929921069962977E-2</v>
      </c>
    </row>
    <row r="147" spans="3:12" x14ac:dyDescent="0.25">
      <c r="C147" s="15" t="s">
        <v>7</v>
      </c>
      <c r="D147" s="15">
        <v>2023</v>
      </c>
      <c r="E147" s="23">
        <v>19</v>
      </c>
      <c r="F147" s="19">
        <f t="shared" ref="F147:G147" si="114">($N$123)*E147+($N$124)*F146</f>
        <v>17.634661713928153</v>
      </c>
      <c r="G147" s="19">
        <f t="shared" si="114"/>
        <v>16.548438064456782</v>
      </c>
      <c r="H147" s="19">
        <f t="shared" si="88"/>
        <v>18.720885363399525</v>
      </c>
      <c r="I147" s="19">
        <f t="shared" si="89"/>
        <v>1.6293354742070567</v>
      </c>
      <c r="J147" s="19">
        <f t="shared" si="90"/>
        <v>17.255533521247052</v>
      </c>
      <c r="K147" s="19">
        <f t="shared" si="93"/>
        <v>9.1814025197523561E-2</v>
      </c>
      <c r="L147" s="27">
        <f t="shared" si="95"/>
        <v>9.1814025197523561E-2</v>
      </c>
    </row>
    <row r="148" spans="3:12" x14ac:dyDescent="0.25">
      <c r="C148" s="15" t="s">
        <v>8</v>
      </c>
      <c r="D148" s="15">
        <v>2023</v>
      </c>
      <c r="E148" s="23">
        <v>20</v>
      </c>
      <c r="F148" s="19">
        <f t="shared" ref="F148:G148" si="115">($N$123)*E148+($N$124)*F147</f>
        <v>19.053864685571263</v>
      </c>
      <c r="G148" s="19">
        <f t="shared" si="115"/>
        <v>18.051694037125472</v>
      </c>
      <c r="H148" s="19">
        <f t="shared" si="88"/>
        <v>20.056035334017054</v>
      </c>
      <c r="I148" s="19">
        <f t="shared" si="89"/>
        <v>1.503255972668686</v>
      </c>
      <c r="J148" s="19">
        <f t="shared" si="90"/>
        <v>20.350220837606582</v>
      </c>
      <c r="K148" s="19">
        <f t="shared" si="93"/>
        <v>-1.7511041880329082E-2</v>
      </c>
      <c r="L148" s="27">
        <f t="shared" si="95"/>
        <v>1.7511041880329082E-2</v>
      </c>
    </row>
    <row r="149" spans="3:12" x14ac:dyDescent="0.25">
      <c r="C149" s="15" t="s">
        <v>9</v>
      </c>
      <c r="D149" s="15">
        <v>2024</v>
      </c>
      <c r="E149" s="23">
        <v>19</v>
      </c>
      <c r="F149" s="19">
        <f t="shared" ref="F149:G149" si="116">($N$123)*E149+($N$124)*F148</f>
        <v>19.021545874228508</v>
      </c>
      <c r="G149" s="19">
        <f t="shared" si="116"/>
        <v>18.633605139387292</v>
      </c>
      <c r="H149" s="19">
        <f t="shared" si="88"/>
        <v>19.409486609069724</v>
      </c>
      <c r="I149" s="19">
        <f t="shared" si="89"/>
        <v>0.58191110226182363</v>
      </c>
      <c r="J149" s="19">
        <f t="shared" si="90"/>
        <v>21.55929130668574</v>
      </c>
      <c r="K149" s="19">
        <f t="shared" si="93"/>
        <v>-0.13469954245714422</v>
      </c>
      <c r="L149" s="27">
        <f t="shared" si="95"/>
        <v>0.13469954245714422</v>
      </c>
    </row>
    <row r="150" spans="3:12" x14ac:dyDescent="0.25">
      <c r="C150" s="15" t="s">
        <v>10</v>
      </c>
      <c r="D150" s="15">
        <v>2024</v>
      </c>
      <c r="E150" s="23">
        <v>13</v>
      </c>
      <c r="F150" s="19">
        <f t="shared" ref="F150:G150" si="117">($N$123)*E150+($N$124)*F149</f>
        <v>15.408618349691404</v>
      </c>
      <c r="G150" s="19">
        <f t="shared" si="117"/>
        <v>16.698613065569759</v>
      </c>
      <c r="H150" s="19">
        <f t="shared" si="88"/>
        <v>14.118623633813048</v>
      </c>
      <c r="I150" s="19">
        <f t="shared" si="89"/>
        <v>-1.9349920738175335</v>
      </c>
      <c r="J150" s="19">
        <f t="shared" si="90"/>
        <v>19.991397711331548</v>
      </c>
      <c r="K150" s="19">
        <f t="shared" si="93"/>
        <v>-0.53779982394858061</v>
      </c>
      <c r="L150" s="27">
        <f t="shared" si="95"/>
        <v>0.53779982394858061</v>
      </c>
    </row>
    <row r="151" spans="3:12" x14ac:dyDescent="0.25">
      <c r="C151" s="15" t="s">
        <v>11</v>
      </c>
      <c r="D151" s="15">
        <v>2024</v>
      </c>
      <c r="E151" s="23">
        <v>12</v>
      </c>
      <c r="F151" s="19">
        <f t="shared" ref="F151:G151" si="118">($N$123)*E151+($N$124)*F150</f>
        <v>13.363447339876561</v>
      </c>
      <c r="G151" s="19">
        <f t="shared" si="118"/>
        <v>14.697513630153839</v>
      </c>
      <c r="H151" s="19">
        <f t="shared" si="88"/>
        <v>12.029381049599284</v>
      </c>
      <c r="I151" s="19">
        <f t="shared" si="89"/>
        <v>-2.0010994354159162</v>
      </c>
      <c r="J151" s="19">
        <f t="shared" si="90"/>
        <v>12.183631559995515</v>
      </c>
      <c r="K151" s="19">
        <f t="shared" si="93"/>
        <v>-1.5302629999626246E-2</v>
      </c>
      <c r="L151" s="27">
        <f t="shared" si="95"/>
        <v>1.5302629999626246E-2</v>
      </c>
    </row>
    <row r="152" spans="3:12" x14ac:dyDescent="0.25">
      <c r="C152" s="15" t="s">
        <v>12</v>
      </c>
      <c r="D152" s="15">
        <v>2024</v>
      </c>
      <c r="E152" s="23">
        <v>10</v>
      </c>
      <c r="F152" s="19">
        <f t="shared" ref="F152:G152" si="119">($N$123)*E152+($N$124)*F151</f>
        <v>11.345378935950624</v>
      </c>
      <c r="G152" s="19">
        <f t="shared" si="119"/>
        <v>12.686232813631911</v>
      </c>
      <c r="H152" s="19">
        <f t="shared" si="88"/>
        <v>10.004525058269337</v>
      </c>
      <c r="I152" s="19">
        <f t="shared" si="89"/>
        <v>-2.0112808165219298</v>
      </c>
      <c r="J152" s="19">
        <f t="shared" si="90"/>
        <v>10.028281614183367</v>
      </c>
      <c r="K152" s="19">
        <f t="shared" si="93"/>
        <v>-2.8281614183367056E-3</v>
      </c>
      <c r="L152" s="27">
        <f t="shared" si="95"/>
        <v>2.8281614183367056E-3</v>
      </c>
    </row>
    <row r="153" spans="3:12" x14ac:dyDescent="0.25">
      <c r="C153" s="15" t="s">
        <v>13</v>
      </c>
      <c r="D153" s="15">
        <v>2024</v>
      </c>
      <c r="E153" s="23">
        <v>10</v>
      </c>
      <c r="F153" s="19">
        <f t="shared" ref="F153:G153" si="120">($N$123)*E153+($N$124)*F152</f>
        <v>10.538151574380251</v>
      </c>
      <c r="G153" s="19">
        <f t="shared" si="120"/>
        <v>11.397384070080914</v>
      </c>
      <c r="H153" s="19">
        <f t="shared" si="88"/>
        <v>9.6789190786795878</v>
      </c>
      <c r="I153" s="19">
        <f t="shared" si="89"/>
        <v>-1.2888487435509945</v>
      </c>
      <c r="J153" s="19">
        <f t="shared" si="90"/>
        <v>7.9932442417474068</v>
      </c>
      <c r="K153" s="19">
        <f t="shared" si="93"/>
        <v>0.20067557582525933</v>
      </c>
      <c r="L153" s="27">
        <f t="shared" si="95"/>
        <v>0.20067557582525933</v>
      </c>
    </row>
    <row r="154" spans="3:12" x14ac:dyDescent="0.25">
      <c r="C154" s="15" t="s">
        <v>2</v>
      </c>
      <c r="D154" s="15">
        <v>2024</v>
      </c>
      <c r="E154" s="23">
        <v>12</v>
      </c>
      <c r="F154" s="19">
        <f t="shared" ref="F154:G154" si="121">($N$123)*E154+($N$124)*F153</f>
        <v>11.415260629752101</v>
      </c>
      <c r="G154" s="19">
        <f t="shared" si="121"/>
        <v>11.408110005883625</v>
      </c>
      <c r="H154" s="19">
        <f t="shared" si="88"/>
        <v>11.422411253620577</v>
      </c>
      <c r="I154" s="19">
        <f t="shared" si="89"/>
        <v>1.0725935802714302E-2</v>
      </c>
      <c r="J154" s="19">
        <f t="shared" si="90"/>
        <v>8.390070335128593</v>
      </c>
      <c r="K154" s="19">
        <f t="shared" si="93"/>
        <v>0.30082747207261723</v>
      </c>
      <c r="L154" s="27">
        <f t="shared" si="95"/>
        <v>0.30082747207261723</v>
      </c>
    </row>
    <row r="155" spans="3:12" x14ac:dyDescent="0.25">
      <c r="C155" s="15" t="s">
        <v>4</v>
      </c>
      <c r="D155" s="15">
        <v>2024</v>
      </c>
      <c r="E155" s="23">
        <v>13</v>
      </c>
      <c r="F155" s="19">
        <f t="shared" ref="F155:G155" si="122">($N$123)*E155+($N$124)*F154</f>
        <v>12.36610425190084</v>
      </c>
      <c r="G155" s="19">
        <f t="shared" si="122"/>
        <v>11.982906553493955</v>
      </c>
      <c r="H155" s="19">
        <f t="shared" si="88"/>
        <v>12.749301950307725</v>
      </c>
      <c r="I155" s="19">
        <f t="shared" si="89"/>
        <v>0.57479654761032772</v>
      </c>
      <c r="J155" s="19">
        <f t="shared" si="90"/>
        <v>11.433137189423292</v>
      </c>
      <c r="K155" s="19">
        <f t="shared" si="93"/>
        <v>0.12052790850590064</v>
      </c>
      <c r="L155" s="27">
        <f t="shared" si="95"/>
        <v>0.12052790850590064</v>
      </c>
    </row>
    <row r="156" spans="3:12" x14ac:dyDescent="0.25">
      <c r="C156" s="15" t="s">
        <v>3</v>
      </c>
      <c r="D156" s="15">
        <v>2024</v>
      </c>
      <c r="E156" s="23">
        <v>15</v>
      </c>
      <c r="F156" s="19">
        <f t="shared" ref="F156:G156" si="123">($N$123)*E156+($N$124)*F155</f>
        <v>13.946441700760335</v>
      </c>
      <c r="G156" s="19">
        <f t="shared" si="123"/>
        <v>13.161027641853781</v>
      </c>
      <c r="H156" s="19">
        <f t="shared" si="88"/>
        <v>14.731855759666889</v>
      </c>
      <c r="I156" s="19">
        <f t="shared" si="89"/>
        <v>1.1781210883598303</v>
      </c>
      <c r="J156" s="19">
        <f t="shared" si="90"/>
        <v>13.324098497918053</v>
      </c>
      <c r="K156" s="19">
        <f t="shared" si="93"/>
        <v>0.11172676680546315</v>
      </c>
      <c r="L156" s="27">
        <f t="shared" si="95"/>
        <v>0.11172676680546315</v>
      </c>
    </row>
    <row r="157" spans="3:12" x14ac:dyDescent="0.25">
      <c r="C157" s="15" t="s">
        <v>5</v>
      </c>
      <c r="D157" s="15">
        <v>2024</v>
      </c>
      <c r="E157" s="23">
        <v>15</v>
      </c>
      <c r="F157" s="19">
        <f t="shared" ref="F157:G157" si="124">($N$123)*E157+($N$124)*F156</f>
        <v>14.578576680304135</v>
      </c>
      <c r="G157" s="19">
        <f t="shared" si="124"/>
        <v>14.011557064923995</v>
      </c>
      <c r="H157" s="19">
        <f t="shared" si="88"/>
        <v>15.145596295684275</v>
      </c>
      <c r="I157" s="19">
        <f t="shared" si="89"/>
        <v>0.85052942307020973</v>
      </c>
      <c r="J157" s="19">
        <f t="shared" si="90"/>
        <v>15.909976848026719</v>
      </c>
      <c r="K157" s="19">
        <f t="shared" si="93"/>
        <v>-6.0665123201781294E-2</v>
      </c>
      <c r="L157" s="27">
        <f t="shared" si="95"/>
        <v>6.0665123201781294E-2</v>
      </c>
    </row>
    <row r="158" spans="3:12" x14ac:dyDescent="0.25">
      <c r="C158" s="15" t="s">
        <v>6</v>
      </c>
      <c r="D158" s="15">
        <v>2024</v>
      </c>
      <c r="E158" s="23">
        <v>18</v>
      </c>
      <c r="F158" s="19">
        <f t="shared" ref="F158:G158" si="125">($N$123)*E158+($N$124)*F157</f>
        <v>16.631430672121652</v>
      </c>
      <c r="G158" s="19">
        <f t="shared" si="125"/>
        <v>15.58348122924259</v>
      </c>
      <c r="H158" s="19">
        <f t="shared" si="88"/>
        <v>17.679380115000715</v>
      </c>
      <c r="I158" s="19">
        <f t="shared" si="89"/>
        <v>1.5719241643185933</v>
      </c>
      <c r="J158" s="19">
        <f t="shared" si="90"/>
        <v>15.996125718754485</v>
      </c>
      <c r="K158" s="19">
        <f t="shared" si="93"/>
        <v>0.11132634895808419</v>
      </c>
      <c r="L158" s="27">
        <f t="shared" si="95"/>
        <v>0.11132634895808419</v>
      </c>
    </row>
    <row r="159" spans="3:12" x14ac:dyDescent="0.25">
      <c r="C159" s="15" t="s">
        <v>7</v>
      </c>
      <c r="D159" s="15">
        <v>2024</v>
      </c>
      <c r="E159" s="23">
        <v>20</v>
      </c>
      <c r="F159" s="19">
        <f t="shared" ref="F159:G159" si="126">($N$123)*E159+($N$124)*F158</f>
        <v>18.652572268848662</v>
      </c>
      <c r="G159" s="19">
        <f t="shared" si="126"/>
        <v>17.424935853006232</v>
      </c>
      <c r="H159" s="19">
        <f t="shared" si="88"/>
        <v>19.880208684691091</v>
      </c>
      <c r="I159" s="19">
        <f t="shared" si="89"/>
        <v>1.8414546237636438</v>
      </c>
      <c r="J159" s="19">
        <f t="shared" si="90"/>
        <v>19.251304279319307</v>
      </c>
      <c r="K159" s="19">
        <f t="shared" si="93"/>
        <v>3.7434786034034676E-2</v>
      </c>
      <c r="L159" s="27">
        <f t="shared" si="95"/>
        <v>3.7434786034034676E-2</v>
      </c>
    </row>
    <row r="160" spans="3:12" x14ac:dyDescent="0.25">
      <c r="C160" s="21" t="s">
        <v>8</v>
      </c>
      <c r="D160" s="21">
        <v>2024</v>
      </c>
      <c r="E160" s="24"/>
      <c r="F160" s="8"/>
      <c r="G160" s="8"/>
      <c r="H160" s="8"/>
      <c r="I160" s="8"/>
      <c r="J160" s="8">
        <f>H159+I159</f>
        <v>21.721663308454733</v>
      </c>
      <c r="K160" s="8" t="s">
        <v>21</v>
      </c>
      <c r="L160" s="28">
        <f>100/36*SUM(L125:L159)</f>
        <v>11.828652098347403</v>
      </c>
    </row>
    <row r="163" spans="3:14" x14ac:dyDescent="0.25">
      <c r="C163" s="18" t="s">
        <v>0</v>
      </c>
      <c r="D163" s="18" t="s">
        <v>1</v>
      </c>
      <c r="E163" s="18" t="s">
        <v>22</v>
      </c>
      <c r="F163" s="18" t="s">
        <v>14</v>
      </c>
      <c r="G163" s="18" t="s">
        <v>15</v>
      </c>
      <c r="H163" s="18" t="s">
        <v>16</v>
      </c>
      <c r="I163" s="18" t="s">
        <v>17</v>
      </c>
      <c r="J163" s="18" t="s">
        <v>18</v>
      </c>
      <c r="K163" s="18" t="s">
        <v>19</v>
      </c>
      <c r="L163" s="26" t="s">
        <v>20</v>
      </c>
      <c r="N163" s="11">
        <v>0.5</v>
      </c>
    </row>
    <row r="164" spans="3:14" x14ac:dyDescent="0.25">
      <c r="C164" s="15" t="s">
        <v>8</v>
      </c>
      <c r="D164" s="15">
        <v>2021</v>
      </c>
      <c r="E164" s="23">
        <v>15</v>
      </c>
      <c r="F164" s="23">
        <v>15</v>
      </c>
      <c r="G164" s="23">
        <v>15</v>
      </c>
      <c r="H164" s="23">
        <v>15</v>
      </c>
      <c r="I164" s="19">
        <v>0</v>
      </c>
      <c r="J164" s="19"/>
      <c r="K164" s="19"/>
      <c r="L164" s="27"/>
      <c r="N164" s="11">
        <v>0.5</v>
      </c>
    </row>
    <row r="165" spans="3:14" x14ac:dyDescent="0.25">
      <c r="C165" s="15" t="s">
        <v>9</v>
      </c>
      <c r="D165" s="15">
        <v>2022</v>
      </c>
      <c r="E165" s="23">
        <v>12</v>
      </c>
      <c r="F165" s="19">
        <f>($N$163)*E165+($N$164)*F164</f>
        <v>13.5</v>
      </c>
      <c r="G165" s="19">
        <f>($N$163)*F165+($N$164)*G164</f>
        <v>14.25</v>
      </c>
      <c r="H165" s="19">
        <f>2*(F165)-(G165)</f>
        <v>12.75</v>
      </c>
      <c r="I165" s="19">
        <f>$N$163/$N$164*(F165-G165)</f>
        <v>-0.75</v>
      </c>
      <c r="J165" s="19">
        <f>H164+I164</f>
        <v>15</v>
      </c>
      <c r="K165" s="19">
        <f>(E165-J165)/E165</f>
        <v>-0.25</v>
      </c>
      <c r="L165" s="27">
        <f>ABS(K165)</f>
        <v>0.25</v>
      </c>
    </row>
    <row r="166" spans="3:14" x14ac:dyDescent="0.25">
      <c r="C166" s="15" t="s">
        <v>10</v>
      </c>
      <c r="D166" s="15">
        <v>2022</v>
      </c>
      <c r="E166" s="23">
        <v>11</v>
      </c>
      <c r="F166" s="19">
        <f t="shared" ref="F166:G166" si="127">($N$163)*E166+($N$164)*F165</f>
        <v>12.25</v>
      </c>
      <c r="G166" s="19">
        <f t="shared" si="127"/>
        <v>13.25</v>
      </c>
      <c r="H166" s="19">
        <f t="shared" ref="H166:H199" si="128">2*(F166)-(G166)</f>
        <v>11.25</v>
      </c>
      <c r="I166" s="19">
        <f t="shared" ref="I166:I199" si="129">$N$163/$N$164*(F166-G166)</f>
        <v>-1</v>
      </c>
      <c r="J166" s="19">
        <f t="shared" ref="J166:J199" si="130">H165+I165</f>
        <v>12</v>
      </c>
      <c r="K166" s="19">
        <f t="shared" ref="K166:K199" si="131">(E166-J166)/E166</f>
        <v>-9.0909090909090912E-2</v>
      </c>
      <c r="L166" s="27">
        <f t="shared" ref="L166:L199" si="132">ABS(K166)</f>
        <v>9.0909090909090912E-2</v>
      </c>
    </row>
    <row r="167" spans="3:14" x14ac:dyDescent="0.25">
      <c r="C167" s="15" t="s">
        <v>11</v>
      </c>
      <c r="D167" s="15">
        <v>2022</v>
      </c>
      <c r="E167" s="23">
        <v>10</v>
      </c>
      <c r="F167" s="19">
        <f t="shared" ref="F167:G167" si="133">($N$163)*E167+($N$164)*F166</f>
        <v>11.125</v>
      </c>
      <c r="G167" s="19">
        <f t="shared" si="133"/>
        <v>12.1875</v>
      </c>
      <c r="H167" s="19">
        <f t="shared" si="128"/>
        <v>10.0625</v>
      </c>
      <c r="I167" s="19">
        <f t="shared" si="129"/>
        <v>-1.0625</v>
      </c>
      <c r="J167" s="19">
        <f t="shared" si="130"/>
        <v>10.25</v>
      </c>
      <c r="K167" s="19">
        <f t="shared" si="131"/>
        <v>-2.5000000000000001E-2</v>
      </c>
      <c r="L167" s="27">
        <f t="shared" si="132"/>
        <v>2.5000000000000001E-2</v>
      </c>
    </row>
    <row r="168" spans="3:14" x14ac:dyDescent="0.25">
      <c r="C168" s="15" t="s">
        <v>12</v>
      </c>
      <c r="D168" s="15">
        <v>2022</v>
      </c>
      <c r="E168" s="23">
        <v>9</v>
      </c>
      <c r="F168" s="19">
        <f t="shared" ref="F168:G168" si="134">($N$163)*E168+($N$164)*F167</f>
        <v>10.0625</v>
      </c>
      <c r="G168" s="19">
        <f t="shared" si="134"/>
        <v>11.125</v>
      </c>
      <c r="H168" s="19">
        <f t="shared" si="128"/>
        <v>9</v>
      </c>
      <c r="I168" s="19">
        <f t="shared" si="129"/>
        <v>-1.0625</v>
      </c>
      <c r="J168" s="19">
        <f t="shared" si="130"/>
        <v>9</v>
      </c>
      <c r="K168" s="19">
        <f t="shared" si="131"/>
        <v>0</v>
      </c>
      <c r="L168" s="27">
        <f t="shared" si="132"/>
        <v>0</v>
      </c>
    </row>
    <row r="169" spans="3:14" x14ac:dyDescent="0.25">
      <c r="C169" s="15" t="s">
        <v>13</v>
      </c>
      <c r="D169" s="15">
        <v>2022</v>
      </c>
      <c r="E169" s="23">
        <v>10</v>
      </c>
      <c r="F169" s="19">
        <f t="shared" ref="F169:G169" si="135">($N$163)*E169+($N$164)*F168</f>
        <v>10.03125</v>
      </c>
      <c r="G169" s="19">
        <f t="shared" si="135"/>
        <v>10.578125</v>
      </c>
      <c r="H169" s="19">
        <f t="shared" si="128"/>
        <v>9.484375</v>
      </c>
      <c r="I169" s="19">
        <f t="shared" si="129"/>
        <v>-0.546875</v>
      </c>
      <c r="J169" s="19">
        <f t="shared" si="130"/>
        <v>7.9375</v>
      </c>
      <c r="K169" s="19">
        <f t="shared" si="131"/>
        <v>0.20624999999999999</v>
      </c>
      <c r="L169" s="27">
        <f t="shared" si="132"/>
        <v>0.20624999999999999</v>
      </c>
    </row>
    <row r="170" spans="3:14" x14ac:dyDescent="0.25">
      <c r="C170" s="15" t="s">
        <v>2</v>
      </c>
      <c r="D170" s="15">
        <v>2022</v>
      </c>
      <c r="E170" s="23">
        <v>12</v>
      </c>
      <c r="F170" s="19">
        <f t="shared" ref="F170:G170" si="136">($N$163)*E170+($N$164)*F169</f>
        <v>11.015625</v>
      </c>
      <c r="G170" s="19">
        <f t="shared" si="136"/>
        <v>10.796875</v>
      </c>
      <c r="H170" s="19">
        <f t="shared" si="128"/>
        <v>11.234375</v>
      </c>
      <c r="I170" s="19">
        <f t="shared" si="129"/>
        <v>0.21875</v>
      </c>
      <c r="J170" s="19">
        <f t="shared" si="130"/>
        <v>8.9375</v>
      </c>
      <c r="K170" s="19">
        <f t="shared" si="131"/>
        <v>0.25520833333333331</v>
      </c>
      <c r="L170" s="27">
        <f t="shared" si="132"/>
        <v>0.25520833333333331</v>
      </c>
    </row>
    <row r="171" spans="3:14" x14ac:dyDescent="0.25">
      <c r="C171" s="15" t="s">
        <v>4</v>
      </c>
      <c r="D171" s="15">
        <v>2022</v>
      </c>
      <c r="E171" s="23">
        <v>14</v>
      </c>
      <c r="F171" s="19">
        <f t="shared" ref="F171:G171" si="137">($N$163)*E171+($N$164)*F170</f>
        <v>12.5078125</v>
      </c>
      <c r="G171" s="19">
        <f t="shared" si="137"/>
        <v>11.65234375</v>
      </c>
      <c r="H171" s="19">
        <f t="shared" si="128"/>
        <v>13.36328125</v>
      </c>
      <c r="I171" s="19">
        <f t="shared" si="129"/>
        <v>0.85546875</v>
      </c>
      <c r="J171" s="19">
        <f t="shared" si="130"/>
        <v>11.453125</v>
      </c>
      <c r="K171" s="19">
        <f t="shared" si="131"/>
        <v>0.18191964285714285</v>
      </c>
      <c r="L171" s="27">
        <f t="shared" si="132"/>
        <v>0.18191964285714285</v>
      </c>
    </row>
    <row r="172" spans="3:14" x14ac:dyDescent="0.25">
      <c r="C172" s="15" t="s">
        <v>3</v>
      </c>
      <c r="D172" s="15">
        <v>2022</v>
      </c>
      <c r="E172" s="23">
        <v>15</v>
      </c>
      <c r="F172" s="19">
        <f t="shared" ref="F172:G172" si="138">($N$163)*E172+($N$164)*F171</f>
        <v>13.75390625</v>
      </c>
      <c r="G172" s="19">
        <f t="shared" si="138"/>
        <v>12.703125</v>
      </c>
      <c r="H172" s="19">
        <f t="shared" si="128"/>
        <v>14.8046875</v>
      </c>
      <c r="I172" s="19">
        <f t="shared" si="129"/>
        <v>1.05078125</v>
      </c>
      <c r="J172" s="19">
        <f t="shared" si="130"/>
        <v>14.21875</v>
      </c>
      <c r="K172" s="19">
        <f t="shared" si="131"/>
        <v>5.2083333333333336E-2</v>
      </c>
      <c r="L172" s="27">
        <f t="shared" si="132"/>
        <v>5.2083333333333336E-2</v>
      </c>
    </row>
    <row r="173" spans="3:14" x14ac:dyDescent="0.25">
      <c r="C173" s="15" t="s">
        <v>5</v>
      </c>
      <c r="D173" s="15">
        <v>2022</v>
      </c>
      <c r="E173" s="23">
        <v>18</v>
      </c>
      <c r="F173" s="19">
        <f t="shared" ref="F173:G173" si="139">($N$163)*E173+($N$164)*F172</f>
        <v>15.876953125</v>
      </c>
      <c r="G173" s="19">
        <f t="shared" si="139"/>
        <v>14.2900390625</v>
      </c>
      <c r="H173" s="19">
        <f t="shared" si="128"/>
        <v>17.4638671875</v>
      </c>
      <c r="I173" s="19">
        <f t="shared" si="129"/>
        <v>1.5869140625</v>
      </c>
      <c r="J173" s="19">
        <f t="shared" si="130"/>
        <v>15.85546875</v>
      </c>
      <c r="K173" s="19">
        <f t="shared" si="131"/>
        <v>0.119140625</v>
      </c>
      <c r="L173" s="27">
        <f t="shared" si="132"/>
        <v>0.119140625</v>
      </c>
    </row>
    <row r="174" spans="3:14" x14ac:dyDescent="0.25">
      <c r="C174" s="15" t="s">
        <v>6</v>
      </c>
      <c r="D174" s="15">
        <v>2022</v>
      </c>
      <c r="E174" s="23">
        <v>19</v>
      </c>
      <c r="F174" s="19">
        <f t="shared" ref="F174:G174" si="140">($N$163)*E174+($N$164)*F173</f>
        <v>17.4384765625</v>
      </c>
      <c r="G174" s="19">
        <f t="shared" si="140"/>
        <v>15.8642578125</v>
      </c>
      <c r="H174" s="19">
        <f t="shared" si="128"/>
        <v>19.0126953125</v>
      </c>
      <c r="I174" s="19">
        <f t="shared" si="129"/>
        <v>1.57421875</v>
      </c>
      <c r="J174" s="19">
        <f t="shared" si="130"/>
        <v>19.05078125</v>
      </c>
      <c r="K174" s="19">
        <f t="shared" si="131"/>
        <v>-2.6726973684210527E-3</v>
      </c>
      <c r="L174" s="27">
        <f t="shared" si="132"/>
        <v>2.6726973684210527E-3</v>
      </c>
    </row>
    <row r="175" spans="3:14" x14ac:dyDescent="0.25">
      <c r="C175" s="15" t="s">
        <v>7</v>
      </c>
      <c r="D175" s="15">
        <v>2022</v>
      </c>
      <c r="E175" s="23">
        <v>20</v>
      </c>
      <c r="F175" s="19">
        <f t="shared" ref="F175:G175" si="141">($N$163)*E175+($N$164)*F174</f>
        <v>18.71923828125</v>
      </c>
      <c r="G175" s="19">
        <f t="shared" si="141"/>
        <v>17.291748046875</v>
      </c>
      <c r="H175" s="19">
        <f t="shared" si="128"/>
        <v>20.146728515625</v>
      </c>
      <c r="I175" s="19">
        <f t="shared" si="129"/>
        <v>1.427490234375</v>
      </c>
      <c r="J175" s="19">
        <f t="shared" si="130"/>
        <v>20.5869140625</v>
      </c>
      <c r="K175" s="19">
        <f t="shared" si="131"/>
        <v>-2.9345703125000001E-2</v>
      </c>
      <c r="L175" s="27">
        <f t="shared" si="132"/>
        <v>2.9345703125000001E-2</v>
      </c>
    </row>
    <row r="176" spans="3:14" x14ac:dyDescent="0.25">
      <c r="C176" s="15" t="s">
        <v>8</v>
      </c>
      <c r="D176" s="15">
        <v>2022</v>
      </c>
      <c r="E176" s="23">
        <v>18</v>
      </c>
      <c r="F176" s="19">
        <f t="shared" ref="F176:G176" si="142">($N$163)*E176+($N$164)*F175</f>
        <v>18.359619140625</v>
      </c>
      <c r="G176" s="19">
        <f t="shared" si="142"/>
        <v>17.82568359375</v>
      </c>
      <c r="H176" s="19">
        <f t="shared" si="128"/>
        <v>18.8935546875</v>
      </c>
      <c r="I176" s="19">
        <f t="shared" si="129"/>
        <v>0.533935546875</v>
      </c>
      <c r="J176" s="19">
        <f t="shared" si="130"/>
        <v>21.57421875</v>
      </c>
      <c r="K176" s="19">
        <f t="shared" si="131"/>
        <v>-0.19856770833333334</v>
      </c>
      <c r="L176" s="27">
        <f t="shared" si="132"/>
        <v>0.19856770833333334</v>
      </c>
    </row>
    <row r="177" spans="3:12" x14ac:dyDescent="0.25">
      <c r="C177" s="15" t="s">
        <v>9</v>
      </c>
      <c r="D177" s="15">
        <v>2023</v>
      </c>
      <c r="E177" s="23">
        <v>15</v>
      </c>
      <c r="F177" s="19">
        <f t="shared" ref="F177:G177" si="143">($N$163)*E177+($N$164)*F176</f>
        <v>16.6798095703125</v>
      </c>
      <c r="G177" s="19">
        <f t="shared" si="143"/>
        <v>17.25274658203125</v>
      </c>
      <c r="H177" s="19">
        <f t="shared" si="128"/>
        <v>16.10687255859375</v>
      </c>
      <c r="I177" s="19">
        <f t="shared" si="129"/>
        <v>-0.57293701171875</v>
      </c>
      <c r="J177" s="19">
        <f t="shared" si="130"/>
        <v>19.427490234375</v>
      </c>
      <c r="K177" s="19">
        <f t="shared" si="131"/>
        <v>-0.295166015625</v>
      </c>
      <c r="L177" s="27">
        <f t="shared" si="132"/>
        <v>0.295166015625</v>
      </c>
    </row>
    <row r="178" spans="3:12" x14ac:dyDescent="0.25">
      <c r="C178" s="15" t="s">
        <v>10</v>
      </c>
      <c r="D178" s="15">
        <v>2023</v>
      </c>
      <c r="E178" s="23">
        <v>14</v>
      </c>
      <c r="F178" s="19">
        <f t="shared" ref="F178:G178" si="144">($N$163)*E178+($N$164)*F177</f>
        <v>15.33990478515625</v>
      </c>
      <c r="G178" s="19">
        <f t="shared" si="144"/>
        <v>16.29632568359375</v>
      </c>
      <c r="H178" s="19">
        <f t="shared" si="128"/>
        <v>14.38348388671875</v>
      </c>
      <c r="I178" s="19">
        <f t="shared" si="129"/>
        <v>-0.9564208984375</v>
      </c>
      <c r="J178" s="19">
        <f t="shared" si="130"/>
        <v>15.533935546875</v>
      </c>
      <c r="K178" s="19">
        <f t="shared" si="131"/>
        <v>-0.10956682477678571</v>
      </c>
      <c r="L178" s="27">
        <f t="shared" si="132"/>
        <v>0.10956682477678571</v>
      </c>
    </row>
    <row r="179" spans="3:12" x14ac:dyDescent="0.25">
      <c r="C179" s="15" t="s">
        <v>11</v>
      </c>
      <c r="D179" s="15">
        <v>2023</v>
      </c>
      <c r="E179" s="23">
        <v>12</v>
      </c>
      <c r="F179" s="19">
        <f t="shared" ref="F179:G179" si="145">($N$163)*E179+($N$164)*F178</f>
        <v>13.669952392578125</v>
      </c>
      <c r="G179" s="19">
        <f t="shared" si="145"/>
        <v>14.983139038085938</v>
      </c>
      <c r="H179" s="19">
        <f t="shared" si="128"/>
        <v>12.356765747070313</v>
      </c>
      <c r="I179" s="19">
        <f t="shared" si="129"/>
        <v>-1.3131866455078125</v>
      </c>
      <c r="J179" s="19">
        <f t="shared" si="130"/>
        <v>13.42706298828125</v>
      </c>
      <c r="K179" s="19">
        <f t="shared" si="131"/>
        <v>-0.11892191569010417</v>
      </c>
      <c r="L179" s="27">
        <f t="shared" si="132"/>
        <v>0.11892191569010417</v>
      </c>
    </row>
    <row r="180" spans="3:12" x14ac:dyDescent="0.25">
      <c r="C180" s="15" t="s">
        <v>12</v>
      </c>
      <c r="D180" s="15">
        <v>2023</v>
      </c>
      <c r="E180" s="23">
        <v>10</v>
      </c>
      <c r="F180" s="19">
        <f t="shared" ref="F180:G180" si="146">($N$163)*E180+($N$164)*F179</f>
        <v>11.834976196289063</v>
      </c>
      <c r="G180" s="19">
        <f t="shared" si="146"/>
        <v>13.4090576171875</v>
      </c>
      <c r="H180" s="19">
        <f t="shared" si="128"/>
        <v>10.260894775390625</v>
      </c>
      <c r="I180" s="19">
        <f t="shared" si="129"/>
        <v>-1.5740814208984375</v>
      </c>
      <c r="J180" s="19">
        <f t="shared" si="130"/>
        <v>11.0435791015625</v>
      </c>
      <c r="K180" s="19">
        <f t="shared" si="131"/>
        <v>-0.10435791015625</v>
      </c>
      <c r="L180" s="27">
        <f t="shared" si="132"/>
        <v>0.10435791015625</v>
      </c>
    </row>
    <row r="181" spans="3:12" x14ac:dyDescent="0.25">
      <c r="C181" s="15" t="s">
        <v>13</v>
      </c>
      <c r="D181" s="15">
        <v>2023</v>
      </c>
      <c r="E181" s="23">
        <v>10</v>
      </c>
      <c r="F181" s="19">
        <f t="shared" ref="F181:G181" si="147">($N$163)*E181+($N$164)*F180</f>
        <v>10.917488098144531</v>
      </c>
      <c r="G181" s="19">
        <f t="shared" si="147"/>
        <v>12.163272857666016</v>
      </c>
      <c r="H181" s="19">
        <f t="shared" si="128"/>
        <v>9.6717033386230469</v>
      </c>
      <c r="I181" s="19">
        <f t="shared" si="129"/>
        <v>-1.2457847595214844</v>
      </c>
      <c r="J181" s="19">
        <f t="shared" si="130"/>
        <v>8.6868133544921875</v>
      </c>
      <c r="K181" s="19">
        <f t="shared" si="131"/>
        <v>0.13131866455078126</v>
      </c>
      <c r="L181" s="27">
        <f t="shared" si="132"/>
        <v>0.13131866455078126</v>
      </c>
    </row>
    <row r="182" spans="3:12" x14ac:dyDescent="0.25">
      <c r="C182" s="15" t="s">
        <v>2</v>
      </c>
      <c r="D182" s="15">
        <v>2023</v>
      </c>
      <c r="E182" s="23">
        <v>9</v>
      </c>
      <c r="F182" s="19">
        <f t="shared" ref="F182:G182" si="148">($N$163)*E182+($N$164)*F181</f>
        <v>9.9587440490722656</v>
      </c>
      <c r="G182" s="19">
        <f t="shared" si="148"/>
        <v>11.061008453369141</v>
      </c>
      <c r="H182" s="19">
        <f t="shared" si="128"/>
        <v>8.8564796447753906</v>
      </c>
      <c r="I182" s="19">
        <f t="shared" si="129"/>
        <v>-1.102264404296875</v>
      </c>
      <c r="J182" s="19">
        <f t="shared" si="130"/>
        <v>8.4259185791015625</v>
      </c>
      <c r="K182" s="19">
        <f t="shared" si="131"/>
        <v>6.3786824544270829E-2</v>
      </c>
      <c r="L182" s="27">
        <f t="shared" si="132"/>
        <v>6.3786824544270829E-2</v>
      </c>
    </row>
    <row r="183" spans="3:12" x14ac:dyDescent="0.25">
      <c r="C183" s="15" t="s">
        <v>4</v>
      </c>
      <c r="D183" s="15">
        <v>2023</v>
      </c>
      <c r="E183" s="23">
        <v>12</v>
      </c>
      <c r="F183" s="19">
        <f t="shared" ref="F183:G183" si="149">($N$163)*E183+($N$164)*F182</f>
        <v>10.979372024536133</v>
      </c>
      <c r="G183" s="19">
        <f t="shared" si="149"/>
        <v>11.020190238952637</v>
      </c>
      <c r="H183" s="19">
        <f t="shared" si="128"/>
        <v>10.938553810119629</v>
      </c>
      <c r="I183" s="19">
        <f t="shared" si="129"/>
        <v>-4.0818214416503906E-2</v>
      </c>
      <c r="J183" s="19">
        <f t="shared" si="130"/>
        <v>7.7542152404785156</v>
      </c>
      <c r="K183" s="19">
        <f t="shared" si="131"/>
        <v>0.35381539662679035</v>
      </c>
      <c r="L183" s="27">
        <f t="shared" si="132"/>
        <v>0.35381539662679035</v>
      </c>
    </row>
    <row r="184" spans="3:12" x14ac:dyDescent="0.25">
      <c r="C184" s="15" t="s">
        <v>3</v>
      </c>
      <c r="D184" s="15">
        <v>2023</v>
      </c>
      <c r="E184" s="23">
        <v>15</v>
      </c>
      <c r="F184" s="19">
        <f t="shared" ref="F184:G184" si="150">($N$163)*E184+($N$164)*F183</f>
        <v>12.989686012268066</v>
      </c>
      <c r="G184" s="19">
        <f t="shared" si="150"/>
        <v>12.004938125610352</v>
      </c>
      <c r="H184" s="19">
        <f t="shared" si="128"/>
        <v>13.974433898925781</v>
      </c>
      <c r="I184" s="19">
        <f t="shared" si="129"/>
        <v>0.98474788665771484</v>
      </c>
      <c r="J184" s="19">
        <f t="shared" si="130"/>
        <v>10.897735595703125</v>
      </c>
      <c r="K184" s="19">
        <f t="shared" si="131"/>
        <v>0.27348429361979165</v>
      </c>
      <c r="L184" s="27">
        <f t="shared" si="132"/>
        <v>0.27348429361979165</v>
      </c>
    </row>
    <row r="185" spans="3:12" x14ac:dyDescent="0.25">
      <c r="C185" s="15" t="s">
        <v>5</v>
      </c>
      <c r="D185" s="15">
        <v>2023</v>
      </c>
      <c r="E185" s="23">
        <v>16</v>
      </c>
      <c r="F185" s="19">
        <f t="shared" ref="F185:G185" si="151">($N$163)*E185+($N$164)*F184</f>
        <v>14.494843006134033</v>
      </c>
      <c r="G185" s="19">
        <f t="shared" si="151"/>
        <v>13.249890565872192</v>
      </c>
      <c r="H185" s="19">
        <f t="shared" si="128"/>
        <v>15.739795446395874</v>
      </c>
      <c r="I185" s="19">
        <f t="shared" si="129"/>
        <v>1.2449524402618408</v>
      </c>
      <c r="J185" s="19">
        <f t="shared" si="130"/>
        <v>14.959181785583496</v>
      </c>
      <c r="K185" s="19">
        <f t="shared" si="131"/>
        <v>6.5051138401031494E-2</v>
      </c>
      <c r="L185" s="27">
        <f t="shared" si="132"/>
        <v>6.5051138401031494E-2</v>
      </c>
    </row>
    <row r="186" spans="3:12" x14ac:dyDescent="0.25">
      <c r="C186" s="15" t="s">
        <v>6</v>
      </c>
      <c r="D186" s="15">
        <v>2023</v>
      </c>
      <c r="E186" s="23">
        <v>16</v>
      </c>
      <c r="F186" s="19">
        <f t="shared" ref="F186:G186" si="152">($N$163)*E186+($N$164)*F185</f>
        <v>15.247421503067017</v>
      </c>
      <c r="G186" s="19">
        <f t="shared" si="152"/>
        <v>14.248656034469604</v>
      </c>
      <c r="H186" s="19">
        <f t="shared" si="128"/>
        <v>16.246186971664429</v>
      </c>
      <c r="I186" s="19">
        <f t="shared" si="129"/>
        <v>0.99876546859741211</v>
      </c>
      <c r="J186" s="19">
        <f t="shared" si="130"/>
        <v>16.984747886657715</v>
      </c>
      <c r="K186" s="19">
        <f t="shared" si="131"/>
        <v>-6.1546742916107178E-2</v>
      </c>
      <c r="L186" s="27">
        <f t="shared" si="132"/>
        <v>6.1546742916107178E-2</v>
      </c>
    </row>
    <row r="187" spans="3:12" x14ac:dyDescent="0.25">
      <c r="C187" s="15" t="s">
        <v>7</v>
      </c>
      <c r="D187" s="15">
        <v>2023</v>
      </c>
      <c r="E187" s="23">
        <v>19</v>
      </c>
      <c r="F187" s="19">
        <f t="shared" ref="F187:G187" si="153">($N$163)*E187+($N$164)*F186</f>
        <v>17.123710751533508</v>
      </c>
      <c r="G187" s="19">
        <f t="shared" si="153"/>
        <v>15.686183393001556</v>
      </c>
      <c r="H187" s="19">
        <f t="shared" si="128"/>
        <v>18.56123811006546</v>
      </c>
      <c r="I187" s="19">
        <f t="shared" si="129"/>
        <v>1.4375273585319519</v>
      </c>
      <c r="J187" s="19">
        <f t="shared" si="130"/>
        <v>17.244952440261841</v>
      </c>
      <c r="K187" s="19">
        <f t="shared" si="131"/>
        <v>9.2370924196745224E-2</v>
      </c>
      <c r="L187" s="27">
        <f t="shared" si="132"/>
        <v>9.2370924196745224E-2</v>
      </c>
    </row>
    <row r="188" spans="3:12" x14ac:dyDescent="0.25">
      <c r="C188" s="15" t="s">
        <v>8</v>
      </c>
      <c r="D188" s="15">
        <v>2023</v>
      </c>
      <c r="E188" s="23">
        <v>20</v>
      </c>
      <c r="F188" s="19">
        <f t="shared" ref="F188:G188" si="154">($N$163)*E188+($N$164)*F187</f>
        <v>18.561855375766754</v>
      </c>
      <c r="G188" s="19">
        <f t="shared" si="154"/>
        <v>17.124019384384155</v>
      </c>
      <c r="H188" s="19">
        <f t="shared" si="128"/>
        <v>19.999691367149353</v>
      </c>
      <c r="I188" s="19">
        <f t="shared" si="129"/>
        <v>1.4378359913825989</v>
      </c>
      <c r="J188" s="19">
        <f t="shared" si="130"/>
        <v>19.998765468597412</v>
      </c>
      <c r="K188" s="19">
        <f t="shared" si="131"/>
        <v>6.1726570129394526E-5</v>
      </c>
      <c r="L188" s="27">
        <f t="shared" si="132"/>
        <v>6.1726570129394526E-5</v>
      </c>
    </row>
    <row r="189" spans="3:12" x14ac:dyDescent="0.25">
      <c r="C189" s="15" t="s">
        <v>9</v>
      </c>
      <c r="D189" s="15">
        <v>2024</v>
      </c>
      <c r="E189" s="23">
        <v>19</v>
      </c>
      <c r="F189" s="19">
        <f t="shared" ref="F189:G189" si="155">($N$163)*E189+($N$164)*F188</f>
        <v>18.780927687883377</v>
      </c>
      <c r="G189" s="19">
        <f t="shared" si="155"/>
        <v>17.952473536133766</v>
      </c>
      <c r="H189" s="19">
        <f t="shared" si="128"/>
        <v>19.609381839632988</v>
      </c>
      <c r="I189" s="19">
        <f t="shared" si="129"/>
        <v>0.8284541517496109</v>
      </c>
      <c r="J189" s="19">
        <f t="shared" si="130"/>
        <v>21.437527358531952</v>
      </c>
      <c r="K189" s="19">
        <f t="shared" si="131"/>
        <v>-0.12829091360694483</v>
      </c>
      <c r="L189" s="27">
        <f t="shared" si="132"/>
        <v>0.12829091360694483</v>
      </c>
    </row>
    <row r="190" spans="3:12" x14ac:dyDescent="0.25">
      <c r="C190" s="15" t="s">
        <v>10</v>
      </c>
      <c r="D190" s="15">
        <v>2024</v>
      </c>
      <c r="E190" s="23">
        <v>13</v>
      </c>
      <c r="F190" s="19">
        <f t="shared" ref="F190:G190" si="156">($N$163)*E190+($N$164)*F189</f>
        <v>15.890463843941689</v>
      </c>
      <c r="G190" s="19">
        <f t="shared" si="156"/>
        <v>16.921468690037727</v>
      </c>
      <c r="H190" s="19">
        <f t="shared" si="128"/>
        <v>14.85945899784565</v>
      </c>
      <c r="I190" s="19">
        <f t="shared" si="129"/>
        <v>-1.0310048460960388</v>
      </c>
      <c r="J190" s="19">
        <f t="shared" si="130"/>
        <v>20.437835991382599</v>
      </c>
      <c r="K190" s="19">
        <f t="shared" si="131"/>
        <v>-0.57214123010635376</v>
      </c>
      <c r="L190" s="27">
        <f t="shared" si="132"/>
        <v>0.57214123010635376</v>
      </c>
    </row>
    <row r="191" spans="3:12" x14ac:dyDescent="0.25">
      <c r="C191" s="15" t="s">
        <v>11</v>
      </c>
      <c r="D191" s="15">
        <v>2024</v>
      </c>
      <c r="E191" s="23">
        <v>12</v>
      </c>
      <c r="F191" s="19">
        <f t="shared" ref="F191:G191" si="157">($N$163)*E191+($N$164)*F190</f>
        <v>13.945231921970844</v>
      </c>
      <c r="G191" s="19">
        <f t="shared" si="157"/>
        <v>15.433350306004286</v>
      </c>
      <c r="H191" s="19">
        <f t="shared" si="128"/>
        <v>12.457113537937403</v>
      </c>
      <c r="I191" s="19">
        <f t="shared" si="129"/>
        <v>-1.4881183840334415</v>
      </c>
      <c r="J191" s="19">
        <f t="shared" si="130"/>
        <v>13.828454151749611</v>
      </c>
      <c r="K191" s="19">
        <f t="shared" si="131"/>
        <v>-0.15237117931246758</v>
      </c>
      <c r="L191" s="27">
        <f t="shared" si="132"/>
        <v>0.15237117931246758</v>
      </c>
    </row>
    <row r="192" spans="3:12" x14ac:dyDescent="0.25">
      <c r="C192" s="15" t="s">
        <v>12</v>
      </c>
      <c r="D192" s="15">
        <v>2024</v>
      </c>
      <c r="E192" s="23">
        <v>10</v>
      </c>
      <c r="F192" s="19">
        <f t="shared" ref="F192:G192" si="158">($N$163)*E192+($N$164)*F191</f>
        <v>11.972615960985422</v>
      </c>
      <c r="G192" s="19">
        <f t="shared" si="158"/>
        <v>13.702983133494854</v>
      </c>
      <c r="H192" s="19">
        <f t="shared" si="128"/>
        <v>10.24224878847599</v>
      </c>
      <c r="I192" s="19">
        <f t="shared" si="129"/>
        <v>-1.7303671725094318</v>
      </c>
      <c r="J192" s="19">
        <f t="shared" si="130"/>
        <v>10.968995153903961</v>
      </c>
      <c r="K192" s="19">
        <f t="shared" si="131"/>
        <v>-9.6899515390396124E-2</v>
      </c>
      <c r="L192" s="27">
        <f t="shared" si="132"/>
        <v>9.6899515390396124E-2</v>
      </c>
    </row>
    <row r="193" spans="3:12" x14ac:dyDescent="0.25">
      <c r="C193" s="15" t="s">
        <v>13</v>
      </c>
      <c r="D193" s="15">
        <v>2024</v>
      </c>
      <c r="E193" s="23">
        <v>10</v>
      </c>
      <c r="F193" s="19">
        <f t="shared" ref="F193:G193" si="159">($N$163)*E193+($N$164)*F192</f>
        <v>10.986307980492711</v>
      </c>
      <c r="G193" s="19">
        <f t="shared" si="159"/>
        <v>12.344645556993783</v>
      </c>
      <c r="H193" s="19">
        <f t="shared" si="128"/>
        <v>9.6279704039916396</v>
      </c>
      <c r="I193" s="19">
        <f t="shared" si="129"/>
        <v>-1.3583375765010715</v>
      </c>
      <c r="J193" s="19">
        <f t="shared" si="130"/>
        <v>8.5118816159665585</v>
      </c>
      <c r="K193" s="19">
        <f t="shared" si="131"/>
        <v>0.14881183840334417</v>
      </c>
      <c r="L193" s="27">
        <f t="shared" si="132"/>
        <v>0.14881183840334417</v>
      </c>
    </row>
    <row r="194" spans="3:12" x14ac:dyDescent="0.25">
      <c r="C194" s="15" t="s">
        <v>2</v>
      </c>
      <c r="D194" s="15">
        <v>2024</v>
      </c>
      <c r="E194" s="23">
        <v>12</v>
      </c>
      <c r="F194" s="19">
        <f t="shared" ref="F194:G194" si="160">($N$163)*E194+($N$164)*F193</f>
        <v>11.493153990246356</v>
      </c>
      <c r="G194" s="19">
        <f t="shared" si="160"/>
        <v>11.918899773620069</v>
      </c>
      <c r="H194" s="19">
        <f t="shared" si="128"/>
        <v>11.067408206872642</v>
      </c>
      <c r="I194" s="19">
        <f t="shared" si="129"/>
        <v>-0.42574578337371349</v>
      </c>
      <c r="J194" s="19">
        <f t="shared" si="130"/>
        <v>8.2696328274905682</v>
      </c>
      <c r="K194" s="19">
        <f t="shared" si="131"/>
        <v>0.31086393104245263</v>
      </c>
      <c r="L194" s="27">
        <f t="shared" si="132"/>
        <v>0.31086393104245263</v>
      </c>
    </row>
    <row r="195" spans="3:12" x14ac:dyDescent="0.25">
      <c r="C195" s="15" t="s">
        <v>4</v>
      </c>
      <c r="D195" s="15">
        <v>2024</v>
      </c>
      <c r="E195" s="23">
        <v>13</v>
      </c>
      <c r="F195" s="19">
        <f t="shared" ref="F195:G195" si="161">($N$163)*E195+($N$164)*F194</f>
        <v>12.246576995123178</v>
      </c>
      <c r="G195" s="19">
        <f t="shared" si="161"/>
        <v>12.082738384371623</v>
      </c>
      <c r="H195" s="19">
        <f t="shared" si="128"/>
        <v>12.410415605874732</v>
      </c>
      <c r="I195" s="19">
        <f t="shared" si="129"/>
        <v>0.16383861075155437</v>
      </c>
      <c r="J195" s="19">
        <f t="shared" si="130"/>
        <v>10.641662423498929</v>
      </c>
      <c r="K195" s="19">
        <f t="shared" si="131"/>
        <v>0.18141058280777472</v>
      </c>
      <c r="L195" s="27">
        <f t="shared" si="132"/>
        <v>0.18141058280777472</v>
      </c>
    </row>
    <row r="196" spans="3:12" x14ac:dyDescent="0.25">
      <c r="C196" s="15" t="s">
        <v>3</v>
      </c>
      <c r="D196" s="15">
        <v>2024</v>
      </c>
      <c r="E196" s="23">
        <v>15</v>
      </c>
      <c r="F196" s="19">
        <f t="shared" ref="F196:G196" si="162">($N$163)*E196+($N$164)*F195</f>
        <v>13.623288497561589</v>
      </c>
      <c r="G196" s="19">
        <f t="shared" si="162"/>
        <v>12.853013440966606</v>
      </c>
      <c r="H196" s="19">
        <f t="shared" si="128"/>
        <v>14.393563554156572</v>
      </c>
      <c r="I196" s="19">
        <f t="shared" si="129"/>
        <v>0.77027505659498274</v>
      </c>
      <c r="J196" s="19">
        <f t="shared" si="130"/>
        <v>12.574254216626287</v>
      </c>
      <c r="K196" s="19">
        <f t="shared" si="131"/>
        <v>0.16171638555824758</v>
      </c>
      <c r="L196" s="27">
        <f t="shared" si="132"/>
        <v>0.16171638555824758</v>
      </c>
    </row>
    <row r="197" spans="3:12" x14ac:dyDescent="0.25">
      <c r="C197" s="15" t="s">
        <v>5</v>
      </c>
      <c r="D197" s="15">
        <v>2024</v>
      </c>
      <c r="E197" s="23">
        <v>15</v>
      </c>
      <c r="F197" s="19">
        <f t="shared" ref="F197:G197" si="163">($N$163)*E197+($N$164)*F196</f>
        <v>14.311644248780794</v>
      </c>
      <c r="G197" s="19">
        <f t="shared" si="163"/>
        <v>13.5823288448737</v>
      </c>
      <c r="H197" s="19">
        <f t="shared" si="128"/>
        <v>15.040959652687889</v>
      </c>
      <c r="I197" s="19">
        <f t="shared" si="129"/>
        <v>0.72931540390709415</v>
      </c>
      <c r="J197" s="19">
        <f t="shared" si="130"/>
        <v>15.163838610751554</v>
      </c>
      <c r="K197" s="19">
        <f t="shared" si="131"/>
        <v>-1.0922574050103625E-2</v>
      </c>
      <c r="L197" s="27">
        <f t="shared" si="132"/>
        <v>1.0922574050103625E-2</v>
      </c>
    </row>
    <row r="198" spans="3:12" x14ac:dyDescent="0.25">
      <c r="C198" s="15" t="s">
        <v>6</v>
      </c>
      <c r="D198" s="15">
        <v>2024</v>
      </c>
      <c r="E198" s="23">
        <v>18</v>
      </c>
      <c r="F198" s="19">
        <f t="shared" ref="F198:G198" si="164">($N$163)*E198+($N$164)*F197</f>
        <v>16.155822124390397</v>
      </c>
      <c r="G198" s="19">
        <f t="shared" si="164"/>
        <v>14.869075484632049</v>
      </c>
      <c r="H198" s="19">
        <f t="shared" si="128"/>
        <v>17.442568764148746</v>
      </c>
      <c r="I198" s="19">
        <f t="shared" si="129"/>
        <v>1.2867466397583485</v>
      </c>
      <c r="J198" s="19">
        <f t="shared" si="130"/>
        <v>15.770275056594983</v>
      </c>
      <c r="K198" s="19">
        <f t="shared" si="131"/>
        <v>0.12387360796694541</v>
      </c>
      <c r="L198" s="27">
        <f t="shared" si="132"/>
        <v>0.12387360796694541</v>
      </c>
    </row>
    <row r="199" spans="3:12" x14ac:dyDescent="0.25">
      <c r="C199" s="15" t="s">
        <v>7</v>
      </c>
      <c r="D199" s="15">
        <v>2024</v>
      </c>
      <c r="E199" s="23">
        <v>20</v>
      </c>
      <c r="F199" s="19">
        <f t="shared" ref="F199:G199" si="165">($N$163)*E199+($N$164)*F198</f>
        <v>18.077911062195199</v>
      </c>
      <c r="G199" s="19">
        <f t="shared" si="165"/>
        <v>16.473493273413624</v>
      </c>
      <c r="H199" s="19">
        <f t="shared" si="128"/>
        <v>19.682328850976774</v>
      </c>
      <c r="I199" s="19">
        <f t="shared" si="129"/>
        <v>1.6044177887815749</v>
      </c>
      <c r="J199" s="19">
        <f t="shared" si="130"/>
        <v>18.729315403907094</v>
      </c>
      <c r="K199" s="19">
        <f t="shared" si="131"/>
        <v>6.3534229804645292E-2</v>
      </c>
      <c r="L199" s="27">
        <f t="shared" si="132"/>
        <v>6.3534229804645292E-2</v>
      </c>
    </row>
    <row r="200" spans="3:12" x14ac:dyDescent="0.25">
      <c r="C200" s="21" t="s">
        <v>8</v>
      </c>
      <c r="D200" s="21">
        <v>2024</v>
      </c>
      <c r="E200" s="24"/>
      <c r="F200" s="8"/>
      <c r="G200" s="8"/>
      <c r="H200" s="8"/>
      <c r="I200" s="8"/>
      <c r="J200" s="8">
        <f>H199+I199</f>
        <v>21.286746639758348</v>
      </c>
      <c r="K200" s="8" t="s">
        <v>21</v>
      </c>
      <c r="L200" s="28">
        <f>100/36*SUM(L165:L199)</f>
        <v>13.976059722175329</v>
      </c>
    </row>
    <row r="203" spans="3:12" x14ac:dyDescent="0.25">
      <c r="E203"/>
      <c r="L203"/>
    </row>
    <row r="204" spans="3:12" x14ac:dyDescent="0.25">
      <c r="E204"/>
      <c r="L204"/>
    </row>
    <row r="205" spans="3:12" x14ac:dyDescent="0.25">
      <c r="E205"/>
      <c r="L205"/>
    </row>
    <row r="206" spans="3:12" x14ac:dyDescent="0.25">
      <c r="E206"/>
      <c r="L206"/>
    </row>
    <row r="207" spans="3:12" x14ac:dyDescent="0.25">
      <c r="E207"/>
      <c r="L207"/>
    </row>
    <row r="208" spans="3:12" x14ac:dyDescent="0.25">
      <c r="E208"/>
      <c r="L208"/>
    </row>
    <row r="209" spans="5:12" x14ac:dyDescent="0.25">
      <c r="E209"/>
      <c r="L209"/>
    </row>
    <row r="210" spans="5:12" x14ac:dyDescent="0.25">
      <c r="E210"/>
      <c r="L210"/>
    </row>
    <row r="211" spans="5:12" x14ac:dyDescent="0.25">
      <c r="E211"/>
      <c r="L211"/>
    </row>
    <row r="212" spans="5:12" x14ac:dyDescent="0.25">
      <c r="E212"/>
      <c r="L212"/>
    </row>
    <row r="213" spans="5:12" x14ac:dyDescent="0.25">
      <c r="E213"/>
      <c r="L213"/>
    </row>
    <row r="214" spans="5:12" x14ac:dyDescent="0.25">
      <c r="E214"/>
      <c r="L214"/>
    </row>
    <row r="215" spans="5:12" x14ac:dyDescent="0.25">
      <c r="E215"/>
      <c r="L215"/>
    </row>
    <row r="216" spans="5:12" x14ac:dyDescent="0.25">
      <c r="E216"/>
      <c r="L216"/>
    </row>
    <row r="217" spans="5:12" x14ac:dyDescent="0.25">
      <c r="E217"/>
      <c r="L217"/>
    </row>
    <row r="218" spans="5:12" x14ac:dyDescent="0.25">
      <c r="E218"/>
      <c r="L218"/>
    </row>
    <row r="219" spans="5:12" x14ac:dyDescent="0.25">
      <c r="E219"/>
      <c r="L219"/>
    </row>
    <row r="220" spans="5:12" x14ac:dyDescent="0.25">
      <c r="E220"/>
      <c r="L220"/>
    </row>
    <row r="221" spans="5:12" x14ac:dyDescent="0.25">
      <c r="E221"/>
      <c r="L221"/>
    </row>
    <row r="222" spans="5:12" x14ac:dyDescent="0.25">
      <c r="E222"/>
      <c r="L222"/>
    </row>
    <row r="223" spans="5:12" x14ac:dyDescent="0.25">
      <c r="E223"/>
      <c r="L223"/>
    </row>
    <row r="224" spans="5:12" x14ac:dyDescent="0.25">
      <c r="E224"/>
      <c r="L224"/>
    </row>
    <row r="225" spans="5:12" x14ac:dyDescent="0.25">
      <c r="E225"/>
      <c r="L225"/>
    </row>
    <row r="226" spans="5:12" x14ac:dyDescent="0.25">
      <c r="E226"/>
      <c r="L226"/>
    </row>
    <row r="227" spans="5:12" x14ac:dyDescent="0.25">
      <c r="E227"/>
      <c r="L227"/>
    </row>
    <row r="228" spans="5:12" x14ac:dyDescent="0.25">
      <c r="E228"/>
      <c r="L228"/>
    </row>
    <row r="229" spans="5:12" x14ac:dyDescent="0.25">
      <c r="E229"/>
      <c r="L229"/>
    </row>
    <row r="230" spans="5:12" x14ac:dyDescent="0.25">
      <c r="E230"/>
      <c r="L230"/>
    </row>
    <row r="231" spans="5:12" x14ac:dyDescent="0.25">
      <c r="E231"/>
      <c r="L231"/>
    </row>
    <row r="232" spans="5:12" x14ac:dyDescent="0.25">
      <c r="E232"/>
      <c r="L232"/>
    </row>
    <row r="233" spans="5:12" x14ac:dyDescent="0.25">
      <c r="E233"/>
      <c r="L233"/>
    </row>
    <row r="234" spans="5:12" x14ac:dyDescent="0.25">
      <c r="E234"/>
      <c r="L234"/>
    </row>
    <row r="235" spans="5:12" x14ac:dyDescent="0.25">
      <c r="E235"/>
      <c r="L235"/>
    </row>
    <row r="236" spans="5:12" x14ac:dyDescent="0.25">
      <c r="E236"/>
      <c r="L236"/>
    </row>
    <row r="237" spans="5:12" x14ac:dyDescent="0.25">
      <c r="E237"/>
      <c r="L237"/>
    </row>
    <row r="238" spans="5:12" x14ac:dyDescent="0.25">
      <c r="E238"/>
      <c r="L238"/>
    </row>
    <row r="239" spans="5:12" x14ac:dyDescent="0.25">
      <c r="E239"/>
      <c r="L239"/>
    </row>
    <row r="240" spans="5:12" x14ac:dyDescent="0.25">
      <c r="E240"/>
      <c r="L240"/>
    </row>
    <row r="241" spans="5:12" x14ac:dyDescent="0.25">
      <c r="E241"/>
      <c r="L24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7674-5BD8-4841-BB65-89AC1D695F74}">
  <dimension ref="C2:I10"/>
  <sheetViews>
    <sheetView workbookViewId="0">
      <selection activeCell="N7" sqref="N7"/>
    </sheetView>
  </sheetViews>
  <sheetFormatPr defaultRowHeight="15" x14ac:dyDescent="0.25"/>
  <cols>
    <col min="3" max="3" width="4.140625" bestFit="1" customWidth="1"/>
    <col min="4" max="4" width="36.7109375" bestFit="1" customWidth="1"/>
    <col min="5" max="9" width="4" customWidth="1"/>
  </cols>
  <sheetData>
    <row r="2" spans="3:9" x14ac:dyDescent="0.25">
      <c r="C2" s="62" t="s">
        <v>59</v>
      </c>
      <c r="D2" s="62"/>
      <c r="E2" s="43"/>
      <c r="F2" s="43"/>
      <c r="G2" s="43"/>
      <c r="H2" s="43"/>
      <c r="I2" s="43"/>
    </row>
    <row r="3" spans="3:9" x14ac:dyDescent="0.25">
      <c r="C3" s="60" t="s">
        <v>56</v>
      </c>
      <c r="D3" s="60" t="s">
        <v>57</v>
      </c>
      <c r="E3" s="59" t="s">
        <v>58</v>
      </c>
      <c r="F3" s="59"/>
      <c r="G3" s="59"/>
      <c r="H3" s="59"/>
      <c r="I3" s="59"/>
    </row>
    <row r="4" spans="3:9" x14ac:dyDescent="0.25">
      <c r="C4" s="61"/>
      <c r="D4" s="61"/>
      <c r="E4" s="41" t="s">
        <v>60</v>
      </c>
      <c r="F4" s="41" t="s">
        <v>61</v>
      </c>
      <c r="G4" s="41" t="s">
        <v>62</v>
      </c>
      <c r="H4" s="41" t="s">
        <v>63</v>
      </c>
      <c r="I4" s="41" t="s">
        <v>64</v>
      </c>
    </row>
    <row r="5" spans="3:9" ht="45" x14ac:dyDescent="0.25">
      <c r="C5" s="41" t="s">
        <v>43</v>
      </c>
      <c r="D5" s="44" t="s">
        <v>44</v>
      </c>
      <c r="E5" s="41" t="s">
        <v>45</v>
      </c>
      <c r="F5" s="41"/>
      <c r="G5" s="41"/>
      <c r="H5" s="41"/>
      <c r="I5" s="41"/>
    </row>
    <row r="6" spans="3:9" ht="60" x14ac:dyDescent="0.25">
      <c r="C6" s="41" t="s">
        <v>46</v>
      </c>
      <c r="D6" s="44" t="s">
        <v>47</v>
      </c>
      <c r="E6" s="41" t="s">
        <v>45</v>
      </c>
      <c r="F6" s="41"/>
      <c r="G6" s="41"/>
      <c r="H6" s="41"/>
      <c r="I6" s="41"/>
    </row>
    <row r="7" spans="3:9" ht="45" x14ac:dyDescent="0.25">
      <c r="C7" s="41" t="s">
        <v>48</v>
      </c>
      <c r="D7" s="44" t="s">
        <v>49</v>
      </c>
      <c r="E7" s="41" t="s">
        <v>45</v>
      </c>
      <c r="F7" s="41"/>
      <c r="G7" s="41"/>
      <c r="H7" s="41"/>
      <c r="I7" s="41"/>
    </row>
    <row r="8" spans="3:9" x14ac:dyDescent="0.25">
      <c r="C8" s="41" t="s">
        <v>50</v>
      </c>
      <c r="D8" s="44" t="s">
        <v>51</v>
      </c>
      <c r="E8" s="41" t="s">
        <v>45</v>
      </c>
      <c r="F8" s="41"/>
      <c r="G8" s="41"/>
      <c r="H8" s="41"/>
      <c r="I8" s="41"/>
    </row>
    <row r="9" spans="3:9" ht="45" x14ac:dyDescent="0.25">
      <c r="C9" s="41" t="s">
        <v>52</v>
      </c>
      <c r="D9" s="44" t="s">
        <v>53</v>
      </c>
      <c r="E9" s="41" t="s">
        <v>45</v>
      </c>
      <c r="F9" s="41"/>
      <c r="G9" s="41"/>
      <c r="H9" s="41"/>
      <c r="I9" s="41"/>
    </row>
    <row r="10" spans="3:9" ht="45" x14ac:dyDescent="0.25">
      <c r="C10" s="41" t="s">
        <v>54</v>
      </c>
      <c r="D10" s="44" t="s">
        <v>55</v>
      </c>
      <c r="E10" s="41" t="s">
        <v>45</v>
      </c>
      <c r="F10" s="41"/>
      <c r="G10" s="41"/>
      <c r="H10" s="41"/>
      <c r="I10" s="41"/>
    </row>
  </sheetData>
  <mergeCells count="4">
    <mergeCell ref="E3:I3"/>
    <mergeCell ref="D3:D4"/>
    <mergeCell ref="C3:C4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21C0-3521-4722-A854-DF5408C284F0}">
  <dimension ref="B3:H40"/>
  <sheetViews>
    <sheetView topLeftCell="A3" workbookViewId="0">
      <selection activeCell="B3" sqref="B3:H40"/>
    </sheetView>
  </sheetViews>
  <sheetFormatPr defaultRowHeight="15" x14ac:dyDescent="0.25"/>
  <cols>
    <col min="2" max="2" width="10.85546875" style="37" bestFit="1" customWidth="1"/>
    <col min="3" max="3" width="6.42578125" style="34" bestFit="1" customWidth="1"/>
    <col min="4" max="4" width="9.42578125" style="34" bestFit="1" customWidth="1"/>
    <col min="5" max="5" width="7.140625" style="34" bestFit="1" customWidth="1"/>
    <col min="6" max="7" width="7.140625" style="33" bestFit="1" customWidth="1"/>
    <col min="8" max="8" width="7.5703125" style="33" bestFit="1" customWidth="1"/>
  </cols>
  <sheetData>
    <row r="3" spans="2:8" x14ac:dyDescent="0.25">
      <c r="B3" s="63" t="s">
        <v>42</v>
      </c>
      <c r="C3" s="63"/>
      <c r="D3" s="63"/>
      <c r="E3" s="63"/>
      <c r="F3" s="63"/>
      <c r="G3" s="63"/>
      <c r="H3" s="63"/>
    </row>
    <row r="4" spans="2:8" s="34" customFormat="1" ht="45" x14ac:dyDescent="0.25">
      <c r="B4" s="38" t="s">
        <v>0</v>
      </c>
      <c r="C4" s="38" t="s">
        <v>1</v>
      </c>
      <c r="D4" s="39" t="s">
        <v>37</v>
      </c>
      <c r="E4" s="40" t="s">
        <v>38</v>
      </c>
      <c r="F4" s="40" t="s">
        <v>39</v>
      </c>
      <c r="G4" s="40" t="s">
        <v>40</v>
      </c>
      <c r="H4" s="40" t="s">
        <v>41</v>
      </c>
    </row>
    <row r="5" spans="2:8" x14ac:dyDescent="0.25">
      <c r="B5" s="42" t="s">
        <v>8</v>
      </c>
      <c r="C5" s="36">
        <v>2021</v>
      </c>
      <c r="D5" s="36">
        <v>20</v>
      </c>
      <c r="E5" s="36">
        <v>20</v>
      </c>
      <c r="F5" s="35">
        <v>24</v>
      </c>
      <c r="G5" s="35">
        <v>15</v>
      </c>
      <c r="H5" s="35">
        <v>15</v>
      </c>
    </row>
    <row r="6" spans="2:8" x14ac:dyDescent="0.25">
      <c r="B6" s="42" t="s">
        <v>9</v>
      </c>
      <c r="C6" s="36">
        <v>2022</v>
      </c>
      <c r="D6" s="36">
        <v>25</v>
      </c>
      <c r="E6" s="36">
        <v>17</v>
      </c>
      <c r="F6" s="35">
        <v>26</v>
      </c>
      <c r="G6" s="35">
        <v>18</v>
      </c>
      <c r="H6" s="35">
        <v>12</v>
      </c>
    </row>
    <row r="7" spans="2:8" x14ac:dyDescent="0.25">
      <c r="B7" s="42" t="s">
        <v>10</v>
      </c>
      <c r="C7" s="36">
        <v>2022</v>
      </c>
      <c r="D7" s="36">
        <v>27</v>
      </c>
      <c r="E7" s="36">
        <v>16</v>
      </c>
      <c r="F7" s="35">
        <v>28</v>
      </c>
      <c r="G7" s="35">
        <v>19</v>
      </c>
      <c r="H7" s="35">
        <v>11</v>
      </c>
    </row>
    <row r="8" spans="2:8" x14ac:dyDescent="0.25">
      <c r="B8" s="42" t="s">
        <v>11</v>
      </c>
      <c r="C8" s="36">
        <v>2022</v>
      </c>
      <c r="D8" s="36">
        <v>30</v>
      </c>
      <c r="E8" s="36">
        <v>15</v>
      </c>
      <c r="F8" s="35">
        <v>29</v>
      </c>
      <c r="G8" s="35">
        <v>19</v>
      </c>
      <c r="H8" s="35">
        <v>10</v>
      </c>
    </row>
    <row r="9" spans="2:8" x14ac:dyDescent="0.25">
      <c r="B9" s="42" t="s">
        <v>12</v>
      </c>
      <c r="C9" s="36">
        <v>2022</v>
      </c>
      <c r="D9" s="36">
        <v>32</v>
      </c>
      <c r="E9" s="36">
        <v>15</v>
      </c>
      <c r="F9" s="35">
        <v>30</v>
      </c>
      <c r="G9" s="35">
        <v>20</v>
      </c>
      <c r="H9" s="35">
        <v>9</v>
      </c>
    </row>
    <row r="10" spans="2:8" x14ac:dyDescent="0.25">
      <c r="B10" s="42" t="s">
        <v>13</v>
      </c>
      <c r="C10" s="36">
        <v>2022</v>
      </c>
      <c r="D10" s="36">
        <v>33</v>
      </c>
      <c r="E10" s="36">
        <v>12</v>
      </c>
      <c r="F10" s="35">
        <v>30</v>
      </c>
      <c r="G10" s="35">
        <v>20</v>
      </c>
      <c r="H10" s="35">
        <v>10</v>
      </c>
    </row>
    <row r="11" spans="2:8" x14ac:dyDescent="0.25">
      <c r="B11" s="42" t="s">
        <v>2</v>
      </c>
      <c r="C11" s="36">
        <v>2022</v>
      </c>
      <c r="D11" s="36">
        <v>33</v>
      </c>
      <c r="E11" s="36">
        <v>11</v>
      </c>
      <c r="F11" s="35">
        <v>32</v>
      </c>
      <c r="G11" s="35">
        <v>22</v>
      </c>
      <c r="H11" s="35">
        <v>12</v>
      </c>
    </row>
    <row r="12" spans="2:8" x14ac:dyDescent="0.25">
      <c r="B12" s="42" t="s">
        <v>4</v>
      </c>
      <c r="C12" s="36">
        <v>2022</v>
      </c>
      <c r="D12" s="36">
        <v>30</v>
      </c>
      <c r="E12" s="36">
        <v>15</v>
      </c>
      <c r="F12" s="35">
        <v>29</v>
      </c>
      <c r="G12" s="35">
        <v>18</v>
      </c>
      <c r="H12" s="35">
        <v>14</v>
      </c>
    </row>
    <row r="13" spans="2:8" x14ac:dyDescent="0.25">
      <c r="B13" s="42" t="s">
        <v>3</v>
      </c>
      <c r="C13" s="36">
        <v>2022</v>
      </c>
      <c r="D13" s="36">
        <v>28</v>
      </c>
      <c r="E13" s="36">
        <v>20</v>
      </c>
      <c r="F13" s="35">
        <v>27</v>
      </c>
      <c r="G13" s="35">
        <v>15</v>
      </c>
      <c r="H13" s="35">
        <v>15</v>
      </c>
    </row>
    <row r="14" spans="2:8" x14ac:dyDescent="0.25">
      <c r="B14" s="42" t="s">
        <v>5</v>
      </c>
      <c r="C14" s="36">
        <v>2022</v>
      </c>
      <c r="D14" s="36">
        <v>26</v>
      </c>
      <c r="E14" s="36">
        <v>22</v>
      </c>
      <c r="F14" s="35">
        <v>25</v>
      </c>
      <c r="G14" s="35">
        <v>13</v>
      </c>
      <c r="H14" s="35">
        <v>18</v>
      </c>
    </row>
    <row r="15" spans="2:8" x14ac:dyDescent="0.25">
      <c r="B15" s="42" t="s">
        <v>6</v>
      </c>
      <c r="C15" s="36">
        <v>2022</v>
      </c>
      <c r="D15" s="36">
        <v>26</v>
      </c>
      <c r="E15" s="36">
        <v>22</v>
      </c>
      <c r="F15" s="35">
        <v>25</v>
      </c>
      <c r="G15" s="35">
        <v>13</v>
      </c>
      <c r="H15" s="35">
        <v>19</v>
      </c>
    </row>
    <row r="16" spans="2:8" x14ac:dyDescent="0.25">
      <c r="B16" s="42" t="s">
        <v>7</v>
      </c>
      <c r="C16" s="36">
        <v>2022</v>
      </c>
      <c r="D16" s="36">
        <v>22</v>
      </c>
      <c r="E16" s="36">
        <v>24</v>
      </c>
      <c r="F16" s="35">
        <v>23</v>
      </c>
      <c r="G16" s="35">
        <v>12</v>
      </c>
      <c r="H16" s="35">
        <v>20</v>
      </c>
    </row>
    <row r="17" spans="2:8" x14ac:dyDescent="0.25">
      <c r="B17" s="42" t="s">
        <v>8</v>
      </c>
      <c r="C17" s="36">
        <v>2022</v>
      </c>
      <c r="D17" s="36">
        <v>20</v>
      </c>
      <c r="E17" s="36">
        <v>27</v>
      </c>
      <c r="F17" s="35">
        <v>21</v>
      </c>
      <c r="G17" s="35">
        <v>11</v>
      </c>
      <c r="H17" s="35">
        <v>18</v>
      </c>
    </row>
    <row r="18" spans="2:8" x14ac:dyDescent="0.25">
      <c r="B18" s="42" t="s">
        <v>9</v>
      </c>
      <c r="C18" s="36">
        <v>2023</v>
      </c>
      <c r="D18" s="36">
        <v>25</v>
      </c>
      <c r="E18" s="36">
        <v>25</v>
      </c>
      <c r="F18" s="35">
        <v>22</v>
      </c>
      <c r="G18" s="35">
        <v>10</v>
      </c>
      <c r="H18" s="35">
        <v>15</v>
      </c>
    </row>
    <row r="19" spans="2:8" x14ac:dyDescent="0.25">
      <c r="B19" s="42" t="s">
        <v>10</v>
      </c>
      <c r="C19" s="36">
        <v>2023</v>
      </c>
      <c r="D19" s="36">
        <v>29</v>
      </c>
      <c r="E19" s="36">
        <v>22</v>
      </c>
      <c r="F19" s="35">
        <v>24</v>
      </c>
      <c r="G19" s="35">
        <v>12</v>
      </c>
      <c r="H19" s="35">
        <v>14</v>
      </c>
    </row>
    <row r="20" spans="2:8" x14ac:dyDescent="0.25">
      <c r="B20" s="42" t="s">
        <v>11</v>
      </c>
      <c r="C20" s="36">
        <v>2023</v>
      </c>
      <c r="D20" s="36">
        <v>30</v>
      </c>
      <c r="E20" s="36">
        <v>20</v>
      </c>
      <c r="F20" s="35">
        <v>25</v>
      </c>
      <c r="G20" s="35">
        <v>14</v>
      </c>
      <c r="H20" s="35">
        <v>12</v>
      </c>
    </row>
    <row r="21" spans="2:8" x14ac:dyDescent="0.25">
      <c r="B21" s="42" t="s">
        <v>12</v>
      </c>
      <c r="C21" s="36">
        <v>2023</v>
      </c>
      <c r="D21" s="36">
        <v>33</v>
      </c>
      <c r="E21" s="36">
        <v>19</v>
      </c>
      <c r="F21" s="35">
        <v>29</v>
      </c>
      <c r="G21" s="35">
        <v>18</v>
      </c>
      <c r="H21" s="35">
        <v>10</v>
      </c>
    </row>
    <row r="22" spans="2:8" x14ac:dyDescent="0.25">
      <c r="B22" s="42" t="s">
        <v>13</v>
      </c>
      <c r="C22" s="36">
        <v>2023</v>
      </c>
      <c r="D22" s="36">
        <v>37</v>
      </c>
      <c r="E22" s="36">
        <v>15</v>
      </c>
      <c r="F22" s="35">
        <v>33</v>
      </c>
      <c r="G22" s="35">
        <v>20</v>
      </c>
      <c r="H22" s="35">
        <v>10</v>
      </c>
    </row>
    <row r="23" spans="2:8" x14ac:dyDescent="0.25">
      <c r="B23" s="42" t="s">
        <v>2</v>
      </c>
      <c r="C23" s="36">
        <v>2023</v>
      </c>
      <c r="D23" s="36">
        <v>39</v>
      </c>
      <c r="E23" s="36">
        <v>15</v>
      </c>
      <c r="F23" s="35">
        <v>34</v>
      </c>
      <c r="G23" s="35">
        <v>22</v>
      </c>
      <c r="H23" s="35">
        <v>9</v>
      </c>
    </row>
    <row r="24" spans="2:8" x14ac:dyDescent="0.25">
      <c r="B24" s="42" t="s">
        <v>4</v>
      </c>
      <c r="C24" s="36">
        <v>2023</v>
      </c>
      <c r="D24" s="36">
        <v>35</v>
      </c>
      <c r="E24" s="36">
        <v>20</v>
      </c>
      <c r="F24" s="35">
        <v>30</v>
      </c>
      <c r="G24" s="35">
        <v>20</v>
      </c>
      <c r="H24" s="35">
        <v>12</v>
      </c>
    </row>
    <row r="25" spans="2:8" x14ac:dyDescent="0.25">
      <c r="B25" s="42" t="s">
        <v>3</v>
      </c>
      <c r="C25" s="36">
        <v>2023</v>
      </c>
      <c r="D25" s="36">
        <v>31</v>
      </c>
      <c r="E25" s="36">
        <v>25</v>
      </c>
      <c r="F25" s="35">
        <v>27</v>
      </c>
      <c r="G25" s="35">
        <v>19</v>
      </c>
      <c r="H25" s="35">
        <v>15</v>
      </c>
    </row>
    <row r="26" spans="2:8" x14ac:dyDescent="0.25">
      <c r="B26" s="42" t="s">
        <v>5</v>
      </c>
      <c r="C26" s="36">
        <v>2023</v>
      </c>
      <c r="D26" s="36">
        <v>29</v>
      </c>
      <c r="E26" s="36">
        <v>27</v>
      </c>
      <c r="F26" s="35">
        <v>26</v>
      </c>
      <c r="G26" s="35">
        <v>19</v>
      </c>
      <c r="H26" s="35">
        <v>16</v>
      </c>
    </row>
    <row r="27" spans="2:8" x14ac:dyDescent="0.25">
      <c r="B27" s="42" t="s">
        <v>6</v>
      </c>
      <c r="C27" s="36">
        <v>2023</v>
      </c>
      <c r="D27" s="36">
        <v>29</v>
      </c>
      <c r="E27" s="36">
        <v>30</v>
      </c>
      <c r="F27" s="35">
        <v>25</v>
      </c>
      <c r="G27" s="35">
        <v>18</v>
      </c>
      <c r="H27" s="35">
        <v>16</v>
      </c>
    </row>
    <row r="28" spans="2:8" x14ac:dyDescent="0.25">
      <c r="B28" s="42" t="s">
        <v>7</v>
      </c>
      <c r="C28" s="36">
        <v>2023</v>
      </c>
      <c r="D28" s="36">
        <v>27</v>
      </c>
      <c r="E28" s="36">
        <v>32</v>
      </c>
      <c r="F28" s="35">
        <v>21</v>
      </c>
      <c r="G28" s="35">
        <v>18</v>
      </c>
      <c r="H28" s="35">
        <v>19</v>
      </c>
    </row>
    <row r="29" spans="2:8" x14ac:dyDescent="0.25">
      <c r="B29" s="42" t="s">
        <v>8</v>
      </c>
      <c r="C29" s="36">
        <v>2023</v>
      </c>
      <c r="D29" s="36">
        <v>25</v>
      </c>
      <c r="E29" s="36">
        <v>32</v>
      </c>
      <c r="F29" s="35">
        <v>18</v>
      </c>
      <c r="G29" s="35">
        <v>16</v>
      </c>
      <c r="H29" s="35">
        <v>20</v>
      </c>
    </row>
    <row r="30" spans="2:8" x14ac:dyDescent="0.25">
      <c r="B30" s="42" t="s">
        <v>9</v>
      </c>
      <c r="C30" s="36">
        <v>2024</v>
      </c>
      <c r="D30" s="36">
        <v>28</v>
      </c>
      <c r="E30" s="36">
        <v>29</v>
      </c>
      <c r="F30" s="35">
        <v>20</v>
      </c>
      <c r="G30" s="35">
        <v>18</v>
      </c>
      <c r="H30" s="35">
        <v>19</v>
      </c>
    </row>
    <row r="31" spans="2:8" x14ac:dyDescent="0.25">
      <c r="B31" s="42" t="s">
        <v>10</v>
      </c>
      <c r="C31" s="36">
        <v>2024</v>
      </c>
      <c r="D31" s="36">
        <v>30</v>
      </c>
      <c r="E31" s="36">
        <v>26</v>
      </c>
      <c r="F31" s="35">
        <v>24</v>
      </c>
      <c r="G31" s="35">
        <v>20</v>
      </c>
      <c r="H31" s="35">
        <v>13</v>
      </c>
    </row>
    <row r="32" spans="2:8" x14ac:dyDescent="0.25">
      <c r="B32" s="42" t="s">
        <v>11</v>
      </c>
      <c r="C32" s="36">
        <v>2024</v>
      </c>
      <c r="D32" s="36">
        <v>35</v>
      </c>
      <c r="E32" s="36">
        <v>24</v>
      </c>
      <c r="F32" s="35">
        <v>27</v>
      </c>
      <c r="G32" s="35">
        <v>22</v>
      </c>
      <c r="H32" s="35">
        <v>12</v>
      </c>
    </row>
    <row r="33" spans="2:8" x14ac:dyDescent="0.25">
      <c r="B33" s="42" t="s">
        <v>12</v>
      </c>
      <c r="C33" s="36">
        <v>2024</v>
      </c>
      <c r="D33" s="36">
        <v>39</v>
      </c>
      <c r="E33" s="36">
        <v>20</v>
      </c>
      <c r="F33" s="35">
        <v>28</v>
      </c>
      <c r="G33" s="35">
        <v>22</v>
      </c>
      <c r="H33" s="35">
        <v>10</v>
      </c>
    </row>
    <row r="34" spans="2:8" x14ac:dyDescent="0.25">
      <c r="B34" s="42" t="s">
        <v>13</v>
      </c>
      <c r="C34" s="36">
        <v>2024</v>
      </c>
      <c r="D34" s="36">
        <v>48</v>
      </c>
      <c r="E34" s="36">
        <v>18</v>
      </c>
      <c r="F34" s="35">
        <v>34</v>
      </c>
      <c r="G34" s="35">
        <v>25</v>
      </c>
      <c r="H34" s="35">
        <v>10</v>
      </c>
    </row>
    <row r="35" spans="2:8" x14ac:dyDescent="0.25">
      <c r="B35" s="42" t="s">
        <v>2</v>
      </c>
      <c r="C35" s="36">
        <v>2024</v>
      </c>
      <c r="D35" s="36">
        <v>52</v>
      </c>
      <c r="E35" s="36">
        <v>16</v>
      </c>
      <c r="F35" s="35">
        <v>36</v>
      </c>
      <c r="G35" s="35">
        <v>26</v>
      </c>
      <c r="H35" s="35">
        <v>12</v>
      </c>
    </row>
    <row r="36" spans="2:8" x14ac:dyDescent="0.25">
      <c r="B36" s="42" t="s">
        <v>4</v>
      </c>
      <c r="C36" s="36">
        <v>2024</v>
      </c>
      <c r="D36" s="36">
        <v>47</v>
      </c>
      <c r="E36" s="36">
        <v>21</v>
      </c>
      <c r="F36" s="35">
        <v>33</v>
      </c>
      <c r="G36" s="35">
        <v>24</v>
      </c>
      <c r="H36" s="35">
        <v>13</v>
      </c>
    </row>
    <row r="37" spans="2:8" x14ac:dyDescent="0.25">
      <c r="B37" s="42" t="s">
        <v>3</v>
      </c>
      <c r="C37" s="36">
        <v>2024</v>
      </c>
      <c r="D37" s="36">
        <v>40</v>
      </c>
      <c r="E37" s="36">
        <v>23</v>
      </c>
      <c r="F37" s="35">
        <v>30</v>
      </c>
      <c r="G37" s="35">
        <v>20</v>
      </c>
      <c r="H37" s="35">
        <v>15</v>
      </c>
    </row>
    <row r="38" spans="2:8" x14ac:dyDescent="0.25">
      <c r="B38" s="42" t="s">
        <v>5</v>
      </c>
      <c r="C38" s="36">
        <v>2024</v>
      </c>
      <c r="D38" s="36">
        <v>36</v>
      </c>
      <c r="E38" s="36">
        <v>24</v>
      </c>
      <c r="F38" s="35">
        <v>25</v>
      </c>
      <c r="G38" s="35">
        <v>19</v>
      </c>
      <c r="H38" s="35">
        <v>15</v>
      </c>
    </row>
    <row r="39" spans="2:8" x14ac:dyDescent="0.25">
      <c r="B39" s="42" t="s">
        <v>6</v>
      </c>
      <c r="C39" s="36">
        <v>2024</v>
      </c>
      <c r="D39" s="36">
        <v>35</v>
      </c>
      <c r="E39" s="36">
        <v>28</v>
      </c>
      <c r="F39" s="35">
        <v>20</v>
      </c>
      <c r="G39" s="35">
        <v>18</v>
      </c>
      <c r="H39" s="35">
        <v>18</v>
      </c>
    </row>
    <row r="40" spans="2:8" x14ac:dyDescent="0.25">
      <c r="B40" s="42" t="s">
        <v>7</v>
      </c>
      <c r="C40" s="36">
        <v>2024</v>
      </c>
      <c r="D40" s="36">
        <v>31</v>
      </c>
      <c r="E40" s="36">
        <v>29</v>
      </c>
      <c r="F40" s="35">
        <v>17</v>
      </c>
      <c r="G40" s="35">
        <v>15</v>
      </c>
      <c r="H40" s="35">
        <v>20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Kaizenka Signature Ramen</vt:lpstr>
      <vt:lpstr>Sheet1</vt:lpstr>
      <vt:lpstr>Curry Ramen</vt:lpstr>
      <vt:lpstr>Miso Ramen</vt:lpstr>
      <vt:lpstr>Mango Milk</vt:lpstr>
      <vt:lpstr>Matcha Milk</vt:lpstr>
      <vt:lpstr>Hasil Prototype</vt:lpstr>
      <vt:lpstr>Data Penjualan Keseluruhan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 Meidian Nugraha</dc:creator>
  <cp:lastModifiedBy>Dell</cp:lastModifiedBy>
  <dcterms:created xsi:type="dcterms:W3CDTF">2024-05-28T06:05:08Z</dcterms:created>
  <dcterms:modified xsi:type="dcterms:W3CDTF">2025-09-17T10:38:02Z</dcterms:modified>
</cp:coreProperties>
</file>